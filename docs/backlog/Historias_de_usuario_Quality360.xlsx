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Épicas" sheetId="2" state="visible" r:id="rId4"/>
    <sheet name="Relación Front-Back" sheetId="3" state="visible" r:id="rId5"/>
    <sheet name="Instructivo" sheetId="4" state="visible" r:id="rId6"/>
  </sheets>
  <definedNames>
    <definedName function="false" hidden="false" localSheetId="0" name="_xlnm.Print_Titles" vbProcedure="false">'Historias de Usuario'!$4:$5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<sst xmlns="http://schemas.openxmlformats.org/spreadsheetml/2006/main" count="1179" uniqueCount="982">
  <si>
    <t xml:space="preserve">Desarrollo ágil: Historias de usuario y criterios de aceptación</t>
  </si>
  <si>
    <t xml:space="preserve">Quality360 · Dashboard de certificación QA de historias de usuario · Capstone DuocUC — Grupo 8</t>
  </si>
  <si>
    <t xml:space="preserve">Leyenda: ID con prefijo F = HDU de Frontend · B = HDU de Backend. Cada HDU se desglosa en escenarios (criterios de aceptación) con formato Contexto → Evento → Resultado.</t>
  </si>
  <si>
    <t xml:space="preserve">Enunciado de la historia</t>
  </si>
  <si>
    <t xml:space="preserve">Criterios de aceptación</t>
  </si>
  <si>
    <t xml:space="preserve">Identificador (ID) de la historia</t>
  </si>
  <si>
    <t xml:space="preserve">Rol</t>
  </si>
  <si>
    <t xml:space="preserve">Característica / Funcionalidad</t>
  </si>
  <si>
    <t xml:space="preserve">Razón / Resultado</t>
  </si>
  <si>
    <t xml:space="preserve">Número (#) de escenario</t>
  </si>
  <si>
    <t xml:space="preserve">Criterio de aceptación (Título)</t>
  </si>
  <si>
    <t xml:space="preserve">Contexto</t>
  </si>
  <si>
    <t xml:space="preserve">Evento</t>
  </si>
  <si>
    <t xml:space="preserve">Resultado / Comportamiento esperado</t>
  </si>
  <si>
    <t xml:space="preserve">Epica</t>
  </si>
  <si>
    <t xml:space="preserve">ÉPICA 1 — ACCESO, PORTALES Y ORGANIZACIÓN QA   ·   Autenticación, autorización por rol y ámbito, portales de inicio y administración de usuarios, roles y supervisión.</t>
  </si>
  <si>
    <t xml:space="preserve">E1-F01</t>
  </si>
  <si>
    <t xml:space="preserve">Usuario de Quality360</t>
  </si>
  <si>
    <t xml:space="preserve">Como Usuario de Quality360, quiero ingresar al portal de inicio de sesión e introducir mis credenciales</t>
  </si>
  <si>
    <t xml:space="preserve">Para acceder a la plataforma de forma segura</t>
  </si>
  <si>
    <t xml:space="preserve">Formulario de ingreso</t>
  </si>
  <si>
    <t xml:space="preserve">El usuario accede a la pantalla de inicio de sesión.</t>
  </si>
  <si>
    <t xml:space="preserve">Visualiza el formulario.</t>
  </si>
  <si>
    <t xml:space="preserve">Se muestran los campos de correo y contraseña, con opción de mostrar u ocultar la contraseña.</t>
  </si>
  <si>
    <t xml:space="preserve">Campos obligatorios</t>
  </si>
  <si>
    <t xml:space="preserve">El usuario deja el correo o la contraseña en blanco.</t>
  </si>
  <si>
    <t xml:space="preserve">Presiona Ingresar.</t>
  </si>
  <si>
    <t xml:space="preserve">El sistema valida los campos obligatorios y marca los que faltan sin enviar la solicitud.</t>
  </si>
  <si>
    <t xml:space="preserve">Credenciales incorrectas</t>
  </si>
  <si>
    <t xml:space="preserve">El usuario ingresa credenciales válidas en formato pero incorrectas.</t>
  </si>
  <si>
    <t xml:space="preserve">Se indica que el ingreso está en proceso y luego se presenta un mensaje genérico de credenciales incorrectas, sin revelar si el correo existe.</t>
  </si>
  <si>
    <t xml:space="preserve">E1-F02</t>
  </si>
  <si>
    <t xml:space="preserve">Quality Engineer (QE)</t>
  </si>
  <si>
    <t xml:space="preserve">Como Quality Engineer (QE), quiero ingresar al portal del QE después de iniciar sesión</t>
  </si>
  <si>
    <t xml:space="preserve">Para acceder a las funciones de supervisión de mi equipo</t>
  </si>
  <si>
    <t xml:space="preserve">Redirección al portal QE</t>
  </si>
  <si>
    <t xml:space="preserve">El usuario tiene rol QE y credenciales válidas.</t>
  </si>
  <si>
    <t xml:space="preserve">Inicia sesión.</t>
  </si>
  <si>
    <t xml:space="preserve">Es dirigido a su portal, que muestra su identidad y la navegación de supervisión.</t>
  </si>
  <si>
    <t xml:space="preserve">Acceso a ruta de otro rol</t>
  </si>
  <si>
    <t xml:space="preserve">El QE está autenticado.</t>
  </si>
  <si>
    <t xml:space="preserve">Intenta abrir una ruta administrativa o de analista.</t>
  </si>
  <si>
    <t xml:space="preserve">Se presenta acceso denegado o se redirige al portal autorizado.</t>
  </si>
  <si>
    <t xml:space="preserve">Navegación disponible</t>
  </si>
  <si>
    <t xml:space="preserve">El QE está en su portal.</t>
  </si>
  <si>
    <t xml:space="preserve">Revisa el menú.</t>
  </si>
  <si>
    <t xml:space="preserve">Solo aparecen opciones de supervisión (equipo, historias supervisadas, perfil, cerrar sesión).</t>
  </si>
  <si>
    <t xml:space="preserve">E1-F03</t>
  </si>
  <si>
    <t xml:space="preserve">Como Quality Engineer (QE), quiero ver mi panel de inicio con un resumen de mis analistas e historias bajo supervisión</t>
  </si>
  <si>
    <t xml:space="preserve">Para identificar mi ámbito de trabajo y acceder a su seguimiento</t>
  </si>
  <si>
    <t xml:space="preserve">Resumen con datos</t>
  </si>
  <si>
    <t xml:space="preserve">El QE tiene analistas e historias asignadas.</t>
  </si>
  <si>
    <t xml:space="preserve">Ingresa al panel de inicio.</t>
  </si>
  <si>
    <t xml:space="preserve">Se muestra la cantidad de analistas supervisados y de HDU bajo supervisión, con acceso a ambos listados.</t>
  </si>
  <si>
    <t xml:space="preserve">Sin datos</t>
  </si>
  <si>
    <t xml:space="preserve">El QE no tiene analistas ni historias asignadas.</t>
  </si>
  <si>
    <t xml:space="preserve">Se informa explícitamente la ausencia de datos, sin mostrar cifras ficticias.</t>
  </si>
  <si>
    <t xml:space="preserve">Error de consulta</t>
  </si>
  <si>
    <t xml:space="preserve">El servicio de resumen no responde.</t>
  </si>
  <si>
    <t xml:space="preserve">Se diferencia el estado de error del estado de carga y de la ausencia de datos, con opción de reintentar.</t>
  </si>
  <si>
    <t xml:space="preserve">E1-F04</t>
  </si>
  <si>
    <t xml:space="preserve">Como Quality Engineer (QE), quiero consultar el listado de analistas QA que superviso</t>
  </si>
  <si>
    <t xml:space="preserve">Para reconocer los integrantes de mi equipo</t>
  </si>
  <si>
    <t xml:space="preserve">Listado vigente</t>
  </si>
  <si>
    <t xml:space="preserve">El QE tiene relaciones de supervisión vigentes.</t>
  </si>
  <si>
    <t xml:space="preserve">Abre la sección de analistas.</t>
  </si>
  <si>
    <t xml:space="preserve">Se muestran únicamente los analistas con supervisión vigente, identificados por nombre y correo.</t>
  </si>
  <si>
    <t xml:space="preserve">Relaciones finalizadas</t>
  </si>
  <si>
    <t xml:space="preserve">Un analista fue reasignado a otro QE.</t>
  </si>
  <si>
    <t xml:space="preserve">El analista reasignado no aparece en el listado.</t>
  </si>
  <si>
    <t xml:space="preserve">Sin analistas</t>
  </si>
  <si>
    <t xml:space="preserve">El QE no tiene analistas asignados.</t>
  </si>
  <si>
    <t xml:space="preserve">Se informa que no hay analistas asignados.</t>
  </si>
  <si>
    <t xml:space="preserve">E1-F05</t>
  </si>
  <si>
    <t xml:space="preserve">Analista QA</t>
  </si>
  <si>
    <t xml:space="preserve">Como Analista QA, quiero ingresar al portal del QA después de iniciar sesión</t>
  </si>
  <si>
    <t xml:space="preserve">Para acceder a las funciones correspondientes a mi trabajo de certificación</t>
  </si>
  <si>
    <t xml:space="preserve">Redirección al portal QA</t>
  </si>
  <si>
    <t xml:space="preserve">El usuario tiene rol Analista QA.</t>
  </si>
  <si>
    <t xml:space="preserve">Es dirigido a su portal, con su identidad y la navegación correspondiente.</t>
  </si>
  <si>
    <t xml:space="preserve">Sin funciones administrativas</t>
  </si>
  <si>
    <t xml:space="preserve">El analista está en su portal.</t>
  </si>
  <si>
    <t xml:space="preserve">Revisa el menú y las rutas.</t>
  </si>
  <si>
    <t xml:space="preserve">No se presentan funciones administrativas ni de supervisión.</t>
  </si>
  <si>
    <t xml:space="preserve">Ruta no autorizada</t>
  </si>
  <si>
    <t xml:space="preserve">El analista está autenticado.</t>
  </si>
  <si>
    <t xml:space="preserve">Intenta abrir una ruta de QE o Administrador.</t>
  </si>
  <si>
    <t xml:space="preserve">Se presenta acceso denegado o se redirige a su portal.</t>
  </si>
  <si>
    <t xml:space="preserve">E1-F06</t>
  </si>
  <si>
    <t xml:space="preserve">Como Analista QA, quiero ver mi panel de inicio con mi QE supervisor y un resumen de mis historias asignadas</t>
  </si>
  <si>
    <t xml:space="preserve">Para identificar mis responsabilidades y a quién acudir ante un impedimento</t>
  </si>
  <si>
    <t xml:space="preserve">Panel con supervisor e historias</t>
  </si>
  <si>
    <t xml:space="preserve">El analista tiene QE vigente e historias asignadas.</t>
  </si>
  <si>
    <t xml:space="preserve">Se muestra el nombre del QE supervisor y la cantidad de HDU asignadas, con acceso a sus historias.</t>
  </si>
  <si>
    <t xml:space="preserve">Sin supervisor</t>
  </si>
  <si>
    <t xml:space="preserve">El analista no tiene QE vigente.</t>
  </si>
  <si>
    <t xml:space="preserve">Se informa que no tiene supervisor asignado.</t>
  </si>
  <si>
    <t xml:space="preserve">Conteo no disponible</t>
  </si>
  <si>
    <t xml:space="preserve">La capacidad de HDU (E2) aún no está habilitada.</t>
  </si>
  <si>
    <t xml:space="preserve">El portal indica que el conteo de historias todavía no está disponible.</t>
  </si>
  <si>
    <t xml:space="preserve">E1-F07</t>
  </si>
  <si>
    <t xml:space="preserve">Administrador</t>
  </si>
  <si>
    <t xml:space="preserve">Como Administrador, quiero ingresar al portal de administración después de iniciar sesión</t>
  </si>
  <si>
    <t xml:space="preserve">Para acceder a la configuración de usuarios y organización QA</t>
  </si>
  <si>
    <t xml:space="preserve">Redirección al portal administrativo</t>
  </si>
  <si>
    <t xml:space="preserve">El usuario tiene rol Administrador.</t>
  </si>
  <si>
    <t xml:space="preserve">Es dirigido a su portal con los accesos administrativos habilitados.</t>
  </si>
  <si>
    <t xml:space="preserve">Accesos habilitados</t>
  </si>
  <si>
    <t xml:space="preserve">El Administrador está en su portal.</t>
  </si>
  <si>
    <t xml:space="preserve">Revisa la navegación.</t>
  </si>
  <si>
    <t xml:space="preserve">Se presentan accesos a usuarios, roles y supervisión.</t>
  </si>
  <si>
    <t xml:space="preserve">Sesión expirada</t>
  </si>
  <si>
    <t xml:space="preserve">La sesión del Administrador expiró.</t>
  </si>
  <si>
    <t xml:space="preserve">Intenta abrir el portal.</t>
  </si>
  <si>
    <t xml:space="preserve">Se le solicita iniciar sesión nuevamente.</t>
  </si>
  <si>
    <t xml:space="preserve">E1-F08</t>
  </si>
  <si>
    <t xml:space="preserve">Como Administrador, quiero ver mi panel de inicio con accesos a usuarios, roles y relaciones de supervisión</t>
  </si>
  <si>
    <t xml:space="preserve">Para administrar la estructura de acceso de la plataforma</t>
  </si>
  <si>
    <t xml:space="preserve">Panel administrativo</t>
  </si>
  <si>
    <t xml:space="preserve">El Administrador ingresa a su panel.</t>
  </si>
  <si>
    <t xml:space="preserve">Visualiza el panel.</t>
  </si>
  <si>
    <t xml:space="preserve">Se muestran accesos a gestión de usuarios, roles y supervisión.</t>
  </si>
  <si>
    <t xml:space="preserve">Error de carga</t>
  </si>
  <si>
    <t xml:space="preserve">El servicio administrativo no responde.</t>
  </si>
  <si>
    <t xml:space="preserve">Ingresa al panel.</t>
  </si>
  <si>
    <t xml:space="preserve">Se informa el error de carga sin mostrar cifras ficticias.</t>
  </si>
  <si>
    <t xml:space="preserve">Navegación directa</t>
  </si>
  <si>
    <t xml:space="preserve">El Administrador está en el panel.</t>
  </si>
  <si>
    <t xml:space="preserve">Selecciona un acceso.</t>
  </si>
  <si>
    <t xml:space="preserve">Se abre la pantalla correspondiente.</t>
  </si>
  <si>
    <t xml:space="preserve">E1-F09</t>
  </si>
  <si>
    <t xml:space="preserve">Como Administrador, quiero utilizar una pantalla para registrar usuarios, actualizar sus datos, asignar su rol y activar o desactivar su acceso</t>
  </si>
  <si>
    <t xml:space="preserve">Para mantener vigente el acceso de los participantes</t>
  </si>
  <si>
    <t xml:space="preserve">Listar y buscar</t>
  </si>
  <si>
    <t xml:space="preserve">Existen usuarios registrados.</t>
  </si>
  <si>
    <t xml:space="preserve">Abre la pantalla de usuarios y busca por nombre o correo.</t>
  </si>
  <si>
    <t xml:space="preserve">Se listan los usuarios y el buscador filtra los resultados.</t>
  </si>
  <si>
    <t xml:space="preserve">Validación de datos</t>
  </si>
  <si>
    <t xml:space="preserve">El Administrador registra un usuario con datos incompletos.</t>
  </si>
  <si>
    <t xml:space="preserve">Guarda el formulario.</t>
  </si>
  <si>
    <t xml:space="preserve">Se validan los datos obligatorios y se indican los errores.</t>
  </si>
  <si>
    <t xml:space="preserve">Confirmación de cambios sensibles</t>
  </si>
  <si>
    <t xml:space="preserve">El Administrador desactiva un usuario o cambia su rol.</t>
  </si>
  <si>
    <t xml:space="preserve">Confirma la operación.</t>
  </si>
  <si>
    <t xml:space="preserve">Se solicita confirmación previa y se muestra el resultado de la operación.</t>
  </si>
  <si>
    <t xml:space="preserve">E1-F10</t>
  </si>
  <si>
    <t xml:space="preserve">Como Administrador, quiero utilizar una pantalla para asignar o cambiar el QE supervisor de un analista QA</t>
  </si>
  <si>
    <t xml:space="preserve">Para mantener actualizada la organización del equipo</t>
  </si>
  <si>
    <t xml:space="preserve">Selección de analista y QE</t>
  </si>
  <si>
    <t xml:space="preserve">Existen analistas y QE activos.</t>
  </si>
  <si>
    <t xml:space="preserve">Selecciona un analista y un QE.</t>
  </si>
  <si>
    <t xml:space="preserve">Se muestra la relación vigente del analista antes de confirmar.</t>
  </si>
  <si>
    <t xml:space="preserve">Motivo del cambio</t>
  </si>
  <si>
    <t xml:space="preserve">El analista ya tiene un QE vigente.</t>
  </si>
  <si>
    <t xml:space="preserve">Asigna un nuevo QE.</t>
  </si>
  <si>
    <t xml:space="preserve">Se solicita el motivo del cambio antes de guardar.</t>
  </si>
  <si>
    <t xml:space="preserve">Historial de supervisión</t>
  </si>
  <si>
    <t xml:space="preserve">El analista ha tenido varios supervisores.</t>
  </si>
  <si>
    <t xml:space="preserve">Consulta el historial.</t>
  </si>
  <si>
    <t xml:space="preserve">Se muestran las relaciones anteriores con fechas y motivos.</t>
  </si>
  <si>
    <t xml:space="preserve">E1-F11</t>
  </si>
  <si>
    <t xml:space="preserve">Usuario autenticado</t>
  </si>
  <si>
    <t xml:space="preserve">Como Usuario autenticado, quiero consultar mi nombre, correo y rol en la plataforma</t>
  </si>
  <si>
    <t xml:space="preserve">Para verificar con qué identidad y permisos estoy trabajando</t>
  </si>
  <si>
    <t xml:space="preserve">Datos del perfil</t>
  </si>
  <si>
    <t xml:space="preserve">El usuario está autenticado.</t>
  </si>
  <si>
    <t xml:space="preserve">Abre su perfil.</t>
  </si>
  <si>
    <t xml:space="preserve">Se muestran su nombre, correo y rol.</t>
  </si>
  <si>
    <t xml:space="preserve">Rol de solo lectura</t>
  </si>
  <si>
    <t xml:space="preserve">El usuario está en su perfil.</t>
  </si>
  <si>
    <t xml:space="preserve">Intenta modificar el rol.</t>
  </si>
  <si>
    <t xml:space="preserve">El rol no es editable desde el perfil personal.</t>
  </si>
  <si>
    <t xml:space="preserve">Datos actualizados</t>
  </si>
  <si>
    <t xml:space="preserve">El Administrador cambió el rol del usuario.</t>
  </si>
  <si>
    <t xml:space="preserve">El usuario vuelve a abrir su perfil.</t>
  </si>
  <si>
    <t xml:space="preserve">Se refleja el rol vigente.</t>
  </si>
  <si>
    <t xml:space="preserve">E1-F12</t>
  </si>
  <si>
    <t xml:space="preserve">Como Usuario autenticado, quiero cerrar sesión desde mi portal</t>
  </si>
  <si>
    <t xml:space="preserve">Para finalizar mi acceso a la plataforma</t>
  </si>
  <si>
    <t xml:space="preserve">Opción visible</t>
  </si>
  <si>
    <t xml:space="preserve">El usuario está en su portal.</t>
  </si>
  <si>
    <t xml:space="preserve">Busca la opción de salir.</t>
  </si>
  <si>
    <t xml:space="preserve">La opción de cerrar sesión es visible desde cualquier pantalla.</t>
  </si>
  <si>
    <t xml:space="preserve">Cierre efectivo</t>
  </si>
  <si>
    <t xml:space="preserve">Presiona Cerrar sesión.</t>
  </si>
  <si>
    <t xml:space="preserve">Se muestra la pantalla de inicio de sesión.</t>
  </si>
  <si>
    <t xml:space="preserve">Navegación hacia atrás</t>
  </si>
  <si>
    <t xml:space="preserve">El usuario cerró sesión.</t>
  </si>
  <si>
    <t xml:space="preserve">Presiona volver atrás en el navegador.</t>
  </si>
  <si>
    <t xml:space="preserve">No se puede consultar información protegida sin autenticarse nuevamente.</t>
  </si>
  <si>
    <t xml:space="preserve">E1-B01</t>
  </si>
  <si>
    <t xml:space="preserve">Usuario registrado</t>
  </si>
  <si>
    <t xml:space="preserve">Como Usuario registrado, quiero que el sistema valide mis credenciales y mi acceso activo</t>
  </si>
  <si>
    <t xml:space="preserve">Para iniciar una sesión segura</t>
  </si>
  <si>
    <t xml:space="preserve">Credenciales válidas</t>
  </si>
  <si>
    <t xml:space="preserve">El usuario está activo y registrado en el proveedor de autenticación.</t>
  </si>
  <si>
    <t xml:space="preserve">Envía credenciales correctas.</t>
  </si>
  <si>
    <t xml:space="preserve">Se valida mediante el proveedor y se crea una sesión.</t>
  </si>
  <si>
    <t xml:space="preserve">Usuario inactivo</t>
  </si>
  <si>
    <t xml:space="preserve">El usuario fue desactivado.</t>
  </si>
  <si>
    <t xml:space="preserve">Se rechaza el acceso sin revelar si el correo existe.</t>
  </si>
  <si>
    <t xml:space="preserve">Intentos repetidos</t>
  </si>
  <si>
    <t xml:space="preserve">Se registran múltiples intentos fallidos.</t>
  </si>
  <si>
    <t xml:space="preserve">Envía un nuevo intento.</t>
  </si>
  <si>
    <t xml:space="preserve">Se aplica protección frente a intentos repetidos de ingreso.</t>
  </si>
  <si>
    <t xml:space="preserve">E1-B02</t>
  </si>
  <si>
    <t xml:space="preserve">Como Usuario autenticado, quiero que el sistema habilite únicamente las operaciones y los datos que me corresponden</t>
  </si>
  <si>
    <t xml:space="preserve">Para trabajar dentro de mis responsabilidades</t>
  </si>
  <si>
    <t xml:space="preserve">Solicitud sin autenticación</t>
  </si>
  <si>
    <t xml:space="preserve">No hay sesión válida.</t>
  </si>
  <si>
    <t xml:space="preserve">Se invoca una operación protegida.</t>
  </si>
  <si>
    <t xml:space="preserve">La solicitud es rechazada.</t>
  </si>
  <si>
    <t xml:space="preserve">Ámbito de analista</t>
  </si>
  <si>
    <t xml:space="preserve">Un QA intenta consultar datos de otro analista.</t>
  </si>
  <si>
    <t xml:space="preserve">Se invoca la consulta.</t>
  </si>
  <si>
    <t xml:space="preserve">Se impide el acceso por ámbito.</t>
  </si>
  <si>
    <t xml:space="preserve">Ámbito de QE</t>
  </si>
  <si>
    <t xml:space="preserve">Un QE intenta consultar un equipo ajeno.</t>
  </si>
  <si>
    <t xml:space="preserve">Se verifica sesión, rol y ámbito y se rechaza la solicitud.</t>
  </si>
  <si>
    <t xml:space="preserve">E1-B03</t>
  </si>
  <si>
    <t xml:space="preserve">Como Quality Engineer (QE), quiero que el sistema entregue el resumen de mi equipo y de las historias bajo mi supervisión</t>
  </si>
  <si>
    <t xml:space="preserve">Para consultar mi situación inicial al ingresar al portal</t>
  </si>
  <si>
    <t xml:space="preserve">Cálculo sobre datos autorizados</t>
  </si>
  <si>
    <t xml:space="preserve">El QE tiene equipo e historias.</t>
  </si>
  <si>
    <t xml:space="preserve">Solicita el resumen.</t>
  </si>
  <si>
    <t xml:space="preserve">Se calculan cantidades solo sobre datos autorizados del QE.</t>
  </si>
  <si>
    <t xml:space="preserve">Consulta válida sin registros</t>
  </si>
  <si>
    <t xml:space="preserve">El QE no tiene registros.</t>
  </si>
  <si>
    <t xml:space="preserve">Se devuelve cero únicamente cuando la consulta válida no encuentra registros.</t>
  </si>
  <si>
    <t xml:space="preserve">Fuente no disponible</t>
  </si>
  <si>
    <t xml:space="preserve">La fuente de historias no responde.</t>
  </si>
  <si>
    <t xml:space="preserve">Se informa que una fuente necesaria no está disponible.</t>
  </si>
  <si>
    <t xml:space="preserve">E1-B04</t>
  </si>
  <si>
    <t xml:space="preserve">Como Quality Engineer (QE), quiero que el sistema identifique a los analistas que superviso actualmente</t>
  </si>
  <si>
    <t xml:space="preserve">Para consultar la composición vigente de mi equipo</t>
  </si>
  <si>
    <t xml:space="preserve">Relaciones vigentes</t>
  </si>
  <si>
    <t xml:space="preserve">Existen relaciones activas y finalizadas.</t>
  </si>
  <si>
    <t xml:space="preserve">Solicita su equipo.</t>
  </si>
  <si>
    <t xml:space="preserve">Se devuelven solo relaciones vigentes, excluyendo las finalizadas.</t>
  </si>
  <si>
    <t xml:space="preserve">Restricción al QE autenticado</t>
  </si>
  <si>
    <t xml:space="preserve">Un QE solicita el equipo de otro QE.</t>
  </si>
  <si>
    <t xml:space="preserve">Invoca la consulta.</t>
  </si>
  <si>
    <t xml:space="preserve">Se rechaza, salvo acceso administrativo autorizado.</t>
  </si>
  <si>
    <t xml:space="preserve">Acceso administrativo</t>
  </si>
  <si>
    <t xml:space="preserve">Un Administrador consulta el equipo de un QE.</t>
  </si>
  <si>
    <t xml:space="preserve">Se devuelve la información por estar autorizado.</t>
  </si>
  <si>
    <t xml:space="preserve">E1-B05</t>
  </si>
  <si>
    <t xml:space="preserve">Como Analista QA, quiero que el sistema entregue mi supervisor vigente y el resumen de mis historias asignadas</t>
  </si>
  <si>
    <t xml:space="preserve">Para conocer mi ámbito de trabajo al ingresar al portal</t>
  </si>
  <si>
    <t xml:space="preserve">Supervisor e historias</t>
  </si>
  <si>
    <t xml:space="preserve">El analista tiene QE vigente e historias.</t>
  </si>
  <si>
    <t xml:space="preserve">Solicita su resumen.</t>
  </si>
  <si>
    <t xml:space="preserve">Se obtiene el supervisor vigente y las historias del analista autenticado.</t>
  </si>
  <si>
    <t xml:space="preserve">Ausencia de supervisor</t>
  </si>
  <si>
    <t xml:space="preserve">Se representa explícitamente la ausencia de supervisor.</t>
  </si>
  <si>
    <t xml:space="preserve">Resumen de otro QA</t>
  </si>
  <si>
    <t xml:space="preserve">Un analista solicita el resumen de otro.</t>
  </si>
  <si>
    <t xml:space="preserve">Se impide sin permiso.</t>
  </si>
  <si>
    <t xml:space="preserve">E1-B06</t>
  </si>
  <si>
    <t xml:space="preserve">Como Administrador, quiero que el sistema entregue la información inicial de usuarios, roles y supervisión</t>
  </si>
  <si>
    <t xml:space="preserve">Para acceder a la administración de la plataforma</t>
  </si>
  <si>
    <t xml:space="preserve">Solo acceso administrativo</t>
  </si>
  <si>
    <t xml:space="preserve">Un usuario no administrador solicita la información.</t>
  </si>
  <si>
    <t xml:space="preserve">Se rechaza la solicitud.</t>
  </si>
  <si>
    <t xml:space="preserve">Información consistente</t>
  </si>
  <si>
    <t xml:space="preserve">El Administrador solicita el resumen.</t>
  </si>
  <si>
    <t xml:space="preserve">Se devuelve información consistente con el registro de usuarios y supervisión.</t>
  </si>
  <si>
    <t xml:space="preserve">Datos recién modificados</t>
  </si>
  <si>
    <t xml:space="preserve">Se acaba de registrar un usuario.</t>
  </si>
  <si>
    <t xml:space="preserve">El nuevo usuario se refleja en la información entregada.</t>
  </si>
  <si>
    <t xml:space="preserve">E1-B07</t>
  </si>
  <si>
    <t xml:space="preserve">Como Administrador, quiero que el sistema registre usuarios y permita actualizar sus datos y estado de acceso</t>
  </si>
  <si>
    <t xml:space="preserve">Para mantener un registro vigente de participantes</t>
  </si>
  <si>
    <t xml:space="preserve">Correo único</t>
  </si>
  <si>
    <t xml:space="preserve">Ya existe un usuario con el mismo correo.</t>
  </si>
  <si>
    <t xml:space="preserve">Registra un nuevo usuario.</t>
  </si>
  <si>
    <t xml:space="preserve">Se rechaza por unicidad del correo tras validar campos.</t>
  </si>
  <si>
    <t xml:space="preserve">Identificador estable</t>
  </si>
  <si>
    <t xml:space="preserve">Se actualiza el correo de un usuario.</t>
  </si>
  <si>
    <t xml:space="preserve">Guarda los cambios.</t>
  </si>
  <si>
    <t xml:space="preserve">El identificador interno se mantiene estable y se coordina con el proveedor de autenticación.</t>
  </si>
  <si>
    <t xml:space="preserve">Usuario desactivado</t>
  </si>
  <si>
    <t xml:space="preserve">Un usuario fue desactivado.</t>
  </si>
  <si>
    <t xml:space="preserve">Intenta una operación protegida.</t>
  </si>
  <si>
    <t xml:space="preserve">Se impiden nuevas operaciones protegidas.</t>
  </si>
  <si>
    <t xml:space="preserve">E1-B08</t>
  </si>
  <si>
    <t xml:space="preserve">Como Administrador, quiero que el sistema permita asignar o modificar el rol de un usuario autorizado</t>
  </si>
  <si>
    <t xml:space="preserve">Para establecer sus responsabilidades y permisos</t>
  </si>
  <si>
    <t xml:space="preserve">Rol definido</t>
  </si>
  <si>
    <t xml:space="preserve">Se envía un rol fuera del catálogo.</t>
  </si>
  <si>
    <t xml:space="preserve">Asigna el rol.</t>
  </si>
  <si>
    <t xml:space="preserve">Se aceptan únicamente roles definidos.</t>
  </si>
  <si>
    <t xml:space="preserve">Último administrador</t>
  </si>
  <si>
    <t xml:space="preserve">Existe un solo administrador activo.</t>
  </si>
  <si>
    <t xml:space="preserve">Intenta cambiar su rol.</t>
  </si>
  <si>
    <t xml:space="preserve">Se evita dejar la plataforma sin administradores activos.</t>
  </si>
  <si>
    <t xml:space="preserve">Relaciones incompatibles</t>
  </si>
  <si>
    <t xml:space="preserve">Un QE con analistas supervisados cambia a rol QA.</t>
  </si>
  <si>
    <t xml:space="preserve">Intenta cambiar el rol.</t>
  </si>
  <si>
    <t xml:space="preserve">Se exige resolver las relaciones incompatibles antes de cambiar el rol.</t>
  </si>
  <si>
    <t xml:space="preserve">E1-B09</t>
  </si>
  <si>
    <t xml:space="preserve">Como Administrador, quiero que el sistema registre la relación entre un QE y sus analistas y conserve sus cambios</t>
  </si>
  <si>
    <t xml:space="preserve">Para mantener trazabilidad de la organización del equipo</t>
  </si>
  <si>
    <t xml:space="preserve">Validación de roles</t>
  </si>
  <si>
    <t xml:space="preserve">Se intenta asignar como supervisor a un usuario que no es QE o inactivo.</t>
  </si>
  <si>
    <t xml:space="preserve">Registra la relación.</t>
  </si>
  <si>
    <t xml:space="preserve">Se rechaza: el supervisor debe ser QE y el supervisado QA, ambos activos.</t>
  </si>
  <si>
    <t xml:space="preserve">Un QE vigente por analista</t>
  </si>
  <si>
    <t xml:space="preserve">El analista ya tiene un QE.</t>
  </si>
  <si>
    <t xml:space="preserve">Registra un nuevo QE.</t>
  </si>
  <si>
    <t xml:space="preserve">Se finaliza la relación anterior y se crea la nueva en una misma transacción.</t>
  </si>
  <si>
    <t xml:space="preserve">Varios analistas por QE</t>
  </si>
  <si>
    <t xml:space="preserve">El QE ya supervisa analistas.</t>
  </si>
  <si>
    <t xml:space="preserve">Se le asigna otro analista.</t>
  </si>
  <si>
    <t xml:space="preserve">Se permite la relación adicional.</t>
  </si>
  <si>
    <t xml:space="preserve">E1-B10</t>
  </si>
  <si>
    <t xml:space="preserve">Como Usuario autenticado, quiero que el sistema entregue mis datos de identidad y rol vigente</t>
  </si>
  <si>
    <t xml:space="preserve">Para reconocer mi perfil dentro de la plataforma</t>
  </si>
  <si>
    <t xml:space="preserve">Identidad desde la sesión</t>
  </si>
  <si>
    <t xml:space="preserve">El usuario tiene sesión válida.</t>
  </si>
  <si>
    <t xml:space="preserve">Solicita su perfil.</t>
  </si>
  <si>
    <t xml:space="preserve">La identidad se obtiene desde la sesión validada.</t>
  </si>
  <si>
    <t xml:space="preserve">Datos mínimos</t>
  </si>
  <si>
    <t xml:space="preserve">El usuario solicita su perfil.</t>
  </si>
  <si>
    <t xml:space="preserve">Recibe la respuesta.</t>
  </si>
  <si>
    <t xml:space="preserve">Se devuelven únicamente los datos necesarios.</t>
  </si>
  <si>
    <t xml:space="preserve">Sin secretos</t>
  </si>
  <si>
    <t xml:space="preserve">No se exponen contraseñas, secretos ni credenciales.</t>
  </si>
  <si>
    <t xml:space="preserve">E1-B11</t>
  </si>
  <si>
    <t xml:space="preserve">Como Usuario autenticado, quiero que el sistema controle la expiración y finalización de mi sesión</t>
  </si>
  <si>
    <t xml:space="preserve">Para impedir que mi acceso continúe cuando deje de ser válido</t>
  </si>
  <si>
    <t xml:space="preserve">La sesión superó su vigencia.</t>
  </si>
  <si>
    <t xml:space="preserve">Invoca una operación protegida.</t>
  </si>
  <si>
    <t xml:space="preserve">Cierre de sesión</t>
  </si>
  <si>
    <t xml:space="preserve">El usuario cierra sesión.</t>
  </si>
  <si>
    <t xml:space="preserve">Invoca el cierre.</t>
  </si>
  <si>
    <t xml:space="preserve">Se invalida la sesión de aplicación y se impide su renovación.</t>
  </si>
  <si>
    <t xml:space="preserve">Revocación en el proveedor</t>
  </si>
  <si>
    <t xml:space="preserve">Se cierra la sesión.</t>
  </si>
  <si>
    <t xml:space="preserve">Se evalúa el proveedor de autenticación.</t>
  </si>
  <si>
    <t xml:space="preserve">El alcance de revocación del proveedor queda definido y probado.</t>
  </si>
  <si>
    <t xml:space="preserve">E1-B12</t>
  </si>
  <si>
    <t xml:space="preserve">Como Administrador, quiero que el sistema registre los cambios de usuarios, roles y supervisión</t>
  </si>
  <si>
    <t xml:space="preserve">Para conocer quién realizó cada modificación y cuándo</t>
  </si>
  <si>
    <t xml:space="preserve">Registro de auditoría</t>
  </si>
  <si>
    <t xml:space="preserve">Se modifica un usuario, rol o supervisión.</t>
  </si>
  <si>
    <t xml:space="preserve">Se confirma la operación.</t>
  </si>
  <si>
    <t xml:space="preserve">Se registra actor, fecha, operación, recurso y cambios relevantes.</t>
  </si>
  <si>
    <t xml:space="preserve">Motivo en supervisión</t>
  </si>
  <si>
    <t xml:space="preserve">Se cambia el QE de un analista.</t>
  </si>
  <si>
    <t xml:space="preserve">Se confirma el cambio.</t>
  </si>
  <si>
    <t xml:space="preserve">Se conserva el motivo del cambio.</t>
  </si>
  <si>
    <t xml:space="preserve">Datos sensibles</t>
  </si>
  <si>
    <t xml:space="preserve">Se registra un cambio de credenciales.</t>
  </si>
  <si>
    <t xml:space="preserve">Se genera el registro.</t>
  </si>
  <si>
    <t xml:space="preserve">Se excluyen contraseñas y tokens de los registros.</t>
  </si>
  <si>
    <t xml:space="preserve">ÉPICA 2 — GESTIÓN DE HISTORIAS DE USUARIO (HDU)   ·   Registro, asignación, estados y consulta de las HDU bajo certificación, organizadas por célula y sprint.</t>
  </si>
  <si>
    <t xml:space="preserve">E2-F01</t>
  </si>
  <si>
    <t xml:space="preserve">Como Quality Engineer (QE), quiero registrar una nueva HDU con su identificador, título, célula, sprint y prioridad</t>
  </si>
  <si>
    <t xml:space="preserve">Para iniciar su seguimiento de certificación</t>
  </si>
  <si>
    <t xml:space="preserve">Registro exitoso</t>
  </si>
  <si>
    <t xml:space="preserve">El QE completa el formulario con datos válidos.</t>
  </si>
  <si>
    <t xml:space="preserve">Presiona Guardar.</t>
  </si>
  <si>
    <t xml:space="preserve">La HDU se crea en estado Pendiente y aparece en el listado.</t>
  </si>
  <si>
    <t xml:space="preserve">Datos obligatorios</t>
  </si>
  <si>
    <t xml:space="preserve">Faltan el identificador o el título.</t>
  </si>
  <si>
    <t xml:space="preserve">Se indican los campos faltantes y no se crea la HDU.</t>
  </si>
  <si>
    <t xml:space="preserve">Identificador duplicado</t>
  </si>
  <si>
    <t xml:space="preserve">Ya existe una HDU con el mismo identificador.</t>
  </si>
  <si>
    <t xml:space="preserve">Se informa el duplicado y se solicita corregirlo.</t>
  </si>
  <si>
    <t xml:space="preserve">E2-F02</t>
  </si>
  <si>
    <t xml:space="preserve">Como Quality Engineer (QE), quiero asignar o reasignar el analista QA responsable de una HDU</t>
  </si>
  <si>
    <t xml:space="preserve">Para distribuir la carga de certificación en mi equipo</t>
  </si>
  <si>
    <t xml:space="preserve">Asignación desde mi equipo</t>
  </si>
  <si>
    <t xml:space="preserve">El QE abre una HDU sin analista.</t>
  </si>
  <si>
    <t xml:space="preserve">Selecciona un analista supervisado.</t>
  </si>
  <si>
    <t xml:space="preserve">La HDU queda asignada y visible para ese analista.</t>
  </si>
  <si>
    <t xml:space="preserve">Analista fuera del equipo</t>
  </si>
  <si>
    <t xml:space="preserve">El QE busca un analista que no supervisa.</t>
  </si>
  <si>
    <t xml:space="preserve">Despliega el selector.</t>
  </si>
  <si>
    <t xml:space="preserve">Solo se listan analistas de su equipo.</t>
  </si>
  <si>
    <t xml:space="preserve">Reasignación</t>
  </si>
  <si>
    <t xml:space="preserve">La HDU ya tiene analista.</t>
  </si>
  <si>
    <t xml:space="preserve">Selecciona otro analista y confirma.</t>
  </si>
  <si>
    <t xml:space="preserve">Se solicita confirmación y se registra el cambio.</t>
  </si>
  <si>
    <t xml:space="preserve">E2-F03</t>
  </si>
  <si>
    <t xml:space="preserve">Como Analista QA, quiero ver el listado de mis HDU asignadas con filtros por célula, sprint y estado</t>
  </si>
  <si>
    <t xml:space="preserve">Para organizar mi trabajo de certificación</t>
  </si>
  <si>
    <t xml:space="preserve">Listado filtrado</t>
  </si>
  <si>
    <t xml:space="preserve">El analista tiene HDU en varios sprints.</t>
  </si>
  <si>
    <t xml:space="preserve">Aplica el filtro por sprint.</t>
  </si>
  <si>
    <t xml:space="preserve">Se muestran solo las HDU del sprint elegido.</t>
  </si>
  <si>
    <t xml:space="preserve">Sin resultados</t>
  </si>
  <si>
    <t xml:space="preserve">Ningún registro cumple los filtros.</t>
  </si>
  <si>
    <t xml:space="preserve">Aplica los filtros.</t>
  </si>
  <si>
    <t xml:space="preserve">Se informa que no hay HDU con esos criterios.</t>
  </si>
  <si>
    <t xml:space="preserve">Solo mis historias</t>
  </si>
  <si>
    <t xml:space="preserve">El analista consulta el listado.</t>
  </si>
  <si>
    <t xml:space="preserve">Visualiza los resultados.</t>
  </si>
  <si>
    <t xml:space="preserve">Solo aparecen HDU asignadas a él.</t>
  </si>
  <si>
    <t xml:space="preserve">E2-F04</t>
  </si>
  <si>
    <t xml:space="preserve">Como Usuario autenticado, quiero ver el detalle de una HDU con su información, responsables, estado y avance</t>
  </si>
  <si>
    <t xml:space="preserve">Para conocer su situación completa</t>
  </si>
  <si>
    <t xml:space="preserve">Detalle completo</t>
  </si>
  <si>
    <t xml:space="preserve">El usuario tiene acceso a la HDU.</t>
  </si>
  <si>
    <t xml:space="preserve">Abre el detalle.</t>
  </si>
  <si>
    <t xml:space="preserve">Se muestran datos, QE, analista, estado, célula, sprint y avance del checklist.</t>
  </si>
  <si>
    <t xml:space="preserve">HDU sin acceso</t>
  </si>
  <si>
    <t xml:space="preserve">El usuario no está relacionado con la HDU.</t>
  </si>
  <si>
    <t xml:space="preserve">Intenta abrir el detalle.</t>
  </si>
  <si>
    <t xml:space="preserve">Se presenta acceso denegado.</t>
  </si>
  <si>
    <t xml:space="preserve">Cambio de estado</t>
  </si>
  <si>
    <t xml:space="preserve">El usuario autorizado está en el detalle.</t>
  </si>
  <si>
    <t xml:space="preserve">Cambia el estado a uno válido.</t>
  </si>
  <si>
    <t xml:space="preserve">Se actualiza el estado y se muestra la fecha del cambio.</t>
  </si>
  <si>
    <t xml:space="preserve">E2-B01</t>
  </si>
  <si>
    <t xml:space="preserve">Como Quality Engineer (QE), quiero que el sistema persista las HDU con sus atributos y relaciones</t>
  </si>
  <si>
    <t xml:space="preserve">Para mantener un registro único y trazable</t>
  </si>
  <si>
    <t xml:space="preserve">Creación persistente</t>
  </si>
  <si>
    <t xml:space="preserve">Se recibe una HDU válida.</t>
  </si>
  <si>
    <t xml:space="preserve">Se procesa la creación.</t>
  </si>
  <si>
    <t xml:space="preserve">Se almacena con célula, sprint, prioridad, QE creador y fecha.</t>
  </si>
  <si>
    <t xml:space="preserve">Validación de esquema</t>
  </si>
  <si>
    <t xml:space="preserve">Se reciben datos inválidos.</t>
  </si>
  <si>
    <t xml:space="preserve">Se procesa la solicitud.</t>
  </si>
  <si>
    <t xml:space="preserve">Se rechaza indicando los errores de validación.</t>
  </si>
  <si>
    <t xml:space="preserve">Unicidad</t>
  </si>
  <si>
    <t xml:space="preserve">El identificador ya existe.</t>
  </si>
  <si>
    <t xml:space="preserve">Se rechaza por duplicidad.</t>
  </si>
  <si>
    <t xml:space="preserve">E2-B02</t>
  </si>
  <si>
    <t xml:space="preserve">Como Quality Engineer (QE), quiero que el sistema valide las transiciones de estado de una HDU</t>
  </si>
  <si>
    <t xml:space="preserve">Para respetar el orden del proceso de certificación</t>
  </si>
  <si>
    <t xml:space="preserve">Transición válida</t>
  </si>
  <si>
    <t xml:space="preserve">La HDU está en Pendiente.</t>
  </si>
  <si>
    <t xml:space="preserve">Se solicita pasar a Diseño de pruebas.</t>
  </si>
  <si>
    <t xml:space="preserve">Se acepta y registra la transición.</t>
  </si>
  <si>
    <t xml:space="preserve">Transición inválida</t>
  </si>
  <si>
    <t xml:space="preserve">Se solicita pasar a Cerrada.</t>
  </si>
  <si>
    <t xml:space="preserve">Se rechaza indicando las transiciones permitidas.</t>
  </si>
  <si>
    <t xml:space="preserve">Cierre con checklist incompleto</t>
  </si>
  <si>
    <t xml:space="preserve">Faltan entregables por completar.</t>
  </si>
  <si>
    <t xml:space="preserve">Se solicita el estado Cerrada.</t>
  </si>
  <si>
    <t xml:space="preserve">Se rechaza hasta completar el checklist.</t>
  </si>
  <si>
    <t xml:space="preserve">E2-B03</t>
  </si>
  <si>
    <t xml:space="preserve">Como Analista QA, quiero que el sistema filtre las HDU según mi rol y asignación</t>
  </si>
  <si>
    <t xml:space="preserve">Para trabajar solo con las historias que me corresponden</t>
  </si>
  <si>
    <t xml:space="preserve">Analista</t>
  </si>
  <si>
    <t xml:space="preserve">Un QA consulta el listado.</t>
  </si>
  <si>
    <t xml:space="preserve">Se procesa la consulta.</t>
  </si>
  <si>
    <t xml:space="preserve">Se devuelven solo HDU con analistaId igual al usuario.</t>
  </si>
  <si>
    <t xml:space="preserve">QE</t>
  </si>
  <si>
    <t xml:space="preserve">Un QE consulta el listado.</t>
  </si>
  <si>
    <t xml:space="preserve">Se devuelven HDU donde es responsable o de sus analistas.</t>
  </si>
  <si>
    <t xml:space="preserve">Un Administrador consulta el listado.</t>
  </si>
  <si>
    <t xml:space="preserve">Se devuelven todas las HDU.</t>
  </si>
  <si>
    <t xml:space="preserve">E2-B04</t>
  </si>
  <si>
    <t xml:space="preserve">Como Administrador, quiero que el sistema registre los cambios de asignación y estado de cada HDU</t>
  </si>
  <si>
    <t xml:space="preserve">Para contar con trazabilidad del proceso</t>
  </si>
  <si>
    <t xml:space="preserve">Historial de estado</t>
  </si>
  <si>
    <t xml:space="preserve">Cambia el estado de una HDU.</t>
  </si>
  <si>
    <t xml:space="preserve">Se registra estado anterior, nuevo, actor y fecha.</t>
  </si>
  <si>
    <t xml:space="preserve">Historial de asignación</t>
  </si>
  <si>
    <t xml:space="preserve">Se reasigna el analista.</t>
  </si>
  <si>
    <t xml:space="preserve">Se registra el analista anterior, el nuevo y el motivo.</t>
  </si>
  <si>
    <t xml:space="preserve">Consulta del historial</t>
  </si>
  <si>
    <t xml:space="preserve">Un usuario autorizado solicita el historial.</t>
  </si>
  <si>
    <t xml:space="preserve">Se devuelve en orden cronológico.</t>
  </si>
  <si>
    <t xml:space="preserve">ÉPICA 3 — CERTIFICACIÓN Y ENTREGABLES   ·   Checklist de 10 entregables con trazabilidad (quién/cuándo), evidencias y generación del certificado de cierre.</t>
  </si>
  <si>
    <t xml:space="preserve">E3-F01</t>
  </si>
  <si>
    <t xml:space="preserve">Como Analista QA, quiero ver el checklist de 10 entregables de una HDU con su estado de cumplimiento</t>
  </si>
  <si>
    <t xml:space="preserve">Para saber qué falta para certificarla</t>
  </si>
  <si>
    <t xml:space="preserve">Checklist completo</t>
  </si>
  <si>
    <t xml:space="preserve">El analista abre una HDU.</t>
  </si>
  <si>
    <t xml:space="preserve">Visualiza el checklist.</t>
  </si>
  <si>
    <t xml:space="preserve">Se muestran los 10 entregables en orden, con estado, responsable y fecha de cada uno.</t>
  </si>
  <si>
    <t xml:space="preserve">Porcentaje de cumplimiento</t>
  </si>
  <si>
    <t xml:space="preserve">Hay entregables completados.</t>
  </si>
  <si>
    <t xml:space="preserve">Se muestra el porcentaje de avance calculado.</t>
  </si>
  <si>
    <t xml:space="preserve">Solo lectura</t>
  </si>
  <si>
    <t xml:space="preserve">Un usuario sin permiso abre la HDU.</t>
  </si>
  <si>
    <t xml:space="preserve">No puede marcar entregables.</t>
  </si>
  <si>
    <t xml:space="preserve">E3-F02</t>
  </si>
  <si>
    <t xml:space="preserve">Como Analista QA, quiero marcar un entregable como completado adjuntando evidencia</t>
  </si>
  <si>
    <t xml:space="preserve">Para registrar el avance de la certificación</t>
  </si>
  <si>
    <t xml:space="preserve">Marcar con evidencia</t>
  </si>
  <si>
    <t xml:space="preserve">El entregable está pendiente.</t>
  </si>
  <si>
    <t xml:space="preserve">Lo marca y adjunta un enlace o archivo.</t>
  </si>
  <si>
    <t xml:space="preserve">Queda completado con mi nombre y fecha.</t>
  </si>
  <si>
    <t xml:space="preserve">Orden del proceso</t>
  </si>
  <si>
    <t xml:space="preserve">El entregable anterior obligatorio está pendiente.</t>
  </si>
  <si>
    <t xml:space="preserve">Intenta marcar el siguiente.</t>
  </si>
  <si>
    <t xml:space="preserve">Se informa que debe completar el anterior.</t>
  </si>
  <si>
    <t xml:space="preserve">Desmarcar</t>
  </si>
  <si>
    <t xml:space="preserve">El entregable está completado.</t>
  </si>
  <si>
    <t xml:space="preserve">Lo desmarca indicando motivo.</t>
  </si>
  <si>
    <t xml:space="preserve">Se registra el retroceso y su motivo.</t>
  </si>
  <si>
    <t xml:space="preserve">E3-F03</t>
  </si>
  <si>
    <t xml:space="preserve">Como Quality Engineer (QE), quiero aprobar los entregables que requieren revisión del QE</t>
  </si>
  <si>
    <t xml:space="preserve">Para asegurar la calidad del proceso antes del cierre</t>
  </si>
  <si>
    <t xml:space="preserve">Aprobación</t>
  </si>
  <si>
    <t xml:space="preserve">Un entregable está pendiente de aprobación.</t>
  </si>
  <si>
    <t xml:space="preserve">Lo aprueba.</t>
  </si>
  <si>
    <t xml:space="preserve">Queda aprobado con nombre y fecha del QE.</t>
  </si>
  <si>
    <t xml:space="preserve">Rechazo con observaciones</t>
  </si>
  <si>
    <t xml:space="preserve">El entregable no cumple.</t>
  </si>
  <si>
    <t xml:space="preserve">Lo rechaza con comentario.</t>
  </si>
  <si>
    <t xml:space="preserve">Vuelve a pendiente y el analista ve las observaciones.</t>
  </si>
  <si>
    <t xml:space="preserve">Pendientes de aprobación</t>
  </si>
  <si>
    <t xml:space="preserve">Existen varios entregables por aprobar.</t>
  </si>
  <si>
    <t xml:space="preserve">Abre su bandeja.</t>
  </si>
  <si>
    <t xml:space="preserve">Se listan agrupados por HDU.</t>
  </si>
  <si>
    <t xml:space="preserve">E3-F04</t>
  </si>
  <si>
    <t xml:space="preserve">Como Quality Engineer (QE), quiero generar y descargar el certificado de una HDU con los 10 entregables completos</t>
  </si>
  <si>
    <t xml:space="preserve">Para entregar evidencia formal de cierre a la célula</t>
  </si>
  <si>
    <t xml:space="preserve">Generación</t>
  </si>
  <si>
    <t xml:space="preserve">Los 10 entregables están completos y aprobados.</t>
  </si>
  <si>
    <t xml:space="preserve">Presiona Generar certificado.</t>
  </si>
  <si>
    <t xml:space="preserve">Se descarga un PDF con folio, fechas y responsable de cada entregable.</t>
  </si>
  <si>
    <t xml:space="preserve">Checklist incompleto</t>
  </si>
  <si>
    <t xml:space="preserve">Falta un entregable.</t>
  </si>
  <si>
    <t xml:space="preserve">Visualiza el botón.</t>
  </si>
  <si>
    <t xml:space="preserve">El botón está deshabilitado y muestra el motivo.</t>
  </si>
  <si>
    <t xml:space="preserve">Certificado existente</t>
  </si>
  <si>
    <t xml:space="preserve">La HDU ya fue certificada.</t>
  </si>
  <si>
    <t xml:space="preserve">Vuelve al detalle.</t>
  </si>
  <si>
    <t xml:space="preserve">Puede descargar nuevamente el mismo certificado.</t>
  </si>
  <si>
    <t xml:space="preserve">E3-B01</t>
  </si>
  <si>
    <t xml:space="preserve">Como Analista QA, quiero que el sistema registre cada entregable como un registro con responsable y fecha</t>
  </si>
  <si>
    <t xml:space="preserve">Para que el checklist sea evidencia auditable</t>
  </si>
  <si>
    <t xml:space="preserve">Registro individual</t>
  </si>
  <si>
    <t xml:space="preserve">Se marca un entregable.</t>
  </si>
  <si>
    <t xml:space="preserve">Se guarda completadoPor, completadoEn y evidencia.</t>
  </si>
  <si>
    <t xml:space="preserve">Unicidad por HDU</t>
  </si>
  <si>
    <t xml:space="preserve">Se intenta duplicar un entregable.</t>
  </si>
  <si>
    <t xml:space="preserve">Se rechaza: un registro por clave y HDU.</t>
  </si>
  <si>
    <t xml:space="preserve">Permisos</t>
  </si>
  <si>
    <t xml:space="preserve">Un usuario sin rol autorizado marca un entregable.</t>
  </si>
  <si>
    <t xml:space="preserve">Se rechaza la operación.</t>
  </si>
  <si>
    <t xml:space="preserve">E3-B02</t>
  </si>
  <si>
    <t xml:space="preserve">Como Quality Engineer (QE), quiero que el sistema valide el orden y las aprobaciones del checklist</t>
  </si>
  <si>
    <t xml:space="preserve">Para que el proceso de certificación sea consistente</t>
  </si>
  <si>
    <t xml:space="preserve">Orden obligatorio</t>
  </si>
  <si>
    <t xml:space="preserve">El entregable previo está pendiente.</t>
  </si>
  <si>
    <t xml:space="preserve">Se marca el siguiente.</t>
  </si>
  <si>
    <t xml:space="preserve">Se rechaza indicando la dependencia.</t>
  </si>
  <si>
    <t xml:space="preserve">Aprobación de QE</t>
  </si>
  <si>
    <t xml:space="preserve">Un entregable requiere aprobación.</t>
  </si>
  <si>
    <t xml:space="preserve">El analista intenta aprobarlo.</t>
  </si>
  <si>
    <t xml:space="preserve">Se rechaza: solo el QE responsable puede aprobar.</t>
  </si>
  <si>
    <t xml:space="preserve">Cálculo de cumplimiento</t>
  </si>
  <si>
    <t xml:space="preserve">Cambia el estado de un entregable.</t>
  </si>
  <si>
    <t xml:space="preserve">Se recalcula.</t>
  </si>
  <si>
    <t xml:space="preserve">El porcentaje se actualiza sobre los 10 entregables.</t>
  </si>
  <si>
    <t xml:space="preserve">E3-B03</t>
  </si>
  <si>
    <t xml:space="preserve">Como Quality Engineer (QE), quiero que el sistema genere el certificado en PDF con código verificable</t>
  </si>
  <si>
    <t xml:space="preserve">Para respaldar formalmente el cierre de la HDU</t>
  </si>
  <si>
    <t xml:space="preserve">Generación con folio</t>
  </si>
  <si>
    <t xml:space="preserve">El checklist está completo y aprobado.</t>
  </si>
  <si>
    <t xml:space="preserve">Se solicita el certificado.</t>
  </si>
  <si>
    <t xml:space="preserve">Se genera un PDF con folio único y se almacena.</t>
  </si>
  <si>
    <t xml:space="preserve">Verificación</t>
  </si>
  <si>
    <t xml:space="preserve">Alguien consulta un folio.</t>
  </si>
  <si>
    <t xml:space="preserve">Invoca la verificación.</t>
  </si>
  <si>
    <t xml:space="preserve">Se confirma HDU, fecha y validez del certificado.</t>
  </si>
  <si>
    <t xml:space="preserve">Precondición incumplida</t>
  </si>
  <si>
    <t xml:space="preserve">Se rechaza indicando el faltante.</t>
  </si>
  <si>
    <t xml:space="preserve">E3-B04</t>
  </si>
  <si>
    <t xml:space="preserve">Como Administrador, quiero que el sistema audite los cambios en entregables y certificados</t>
  </si>
  <si>
    <t xml:space="preserve">Para conocer quién hizo cada cambio y cuándo</t>
  </si>
  <si>
    <t xml:space="preserve">Registro de cambio</t>
  </si>
  <si>
    <t xml:space="preserve">Se marca, desmarca o aprueba un entregable.</t>
  </si>
  <si>
    <t xml:space="preserve">Se confirma.</t>
  </si>
  <si>
    <t xml:space="preserve">Se registra actor, fecha, valor anterior y nuevo.</t>
  </si>
  <si>
    <t xml:space="preserve">Motivo de retroceso</t>
  </si>
  <si>
    <t xml:space="preserve">Se desmarca un entregable.</t>
  </si>
  <si>
    <t xml:space="preserve">Se conserva el motivo.</t>
  </si>
  <si>
    <t xml:space="preserve">Consulta</t>
  </si>
  <si>
    <t xml:space="preserve">Un usuario autorizado pide la bitácora de una HDU.</t>
  </si>
  <si>
    <t xml:space="preserve">Se procesa.</t>
  </si>
  <si>
    <t xml:space="preserve">Se devuelve el historial completo.</t>
  </si>
  <si>
    <t xml:space="preserve">ÉPICA 4 — IMPEDIMENTOS Y RIESGOS   ·   Registro, seguimiento y resolución de impedimentos; clasificación del nivel de riesgo de cada HDU.</t>
  </si>
  <si>
    <t xml:space="preserve">E4-F01</t>
  </si>
  <si>
    <t xml:space="preserve">Como Analista QA, quiero registrar un impedimento sobre una HDU indicando tipo, descripción y responsable de resolverlo</t>
  </si>
  <si>
    <t xml:space="preserve">Para que mi QE pueda gestionarlo oportunamente</t>
  </si>
  <si>
    <t xml:space="preserve">Registro</t>
  </si>
  <si>
    <t xml:space="preserve">El analista está en el detalle de la HDU.</t>
  </si>
  <si>
    <t xml:space="preserve">Registra el impedimento.</t>
  </si>
  <si>
    <t xml:space="preserve">La HDU queda marcada como bloqueada y el impedimento aparece en su detalle.</t>
  </si>
  <si>
    <t xml:space="preserve">Falta la descripción.</t>
  </si>
  <si>
    <t xml:space="preserve">Se solicita completar los datos obligatorios.</t>
  </si>
  <si>
    <t xml:space="preserve">Notificación al QE</t>
  </si>
  <si>
    <t xml:space="preserve">Se registra el impedimento.</t>
  </si>
  <si>
    <t xml:space="preserve">Se guarda.</t>
  </si>
  <si>
    <t xml:space="preserve">El QE supervisor lo ve en su panel.</t>
  </si>
  <si>
    <t xml:space="preserve">E4-F02</t>
  </si>
  <si>
    <t xml:space="preserve">Como Quality Engineer (QE), quiero ver los impedimentos abiertos de mi equipo priorizados por antigüedad y riesgo</t>
  </si>
  <si>
    <t xml:space="preserve">Para intervenir antes de que afecten la certificación</t>
  </si>
  <si>
    <t xml:space="preserve">Listado priorizado</t>
  </si>
  <si>
    <t xml:space="preserve">Existen impedimentos abiertos.</t>
  </si>
  <si>
    <t xml:space="preserve">Abre la sección.</t>
  </si>
  <si>
    <t xml:space="preserve">Se listan ordenados por riesgo y días abiertos, con HDU y analista.</t>
  </si>
  <si>
    <t xml:space="preserve">Sin impedimentos</t>
  </si>
  <si>
    <t xml:space="preserve">No hay impedimentos abiertos.</t>
  </si>
  <si>
    <t xml:space="preserve">Se informa que el equipo no tiene bloqueos.</t>
  </si>
  <si>
    <t xml:space="preserve">Filtro por célula</t>
  </si>
  <si>
    <t xml:space="preserve">Hay impedimentos en varias células.</t>
  </si>
  <si>
    <t xml:space="preserve">Filtra por célula.</t>
  </si>
  <si>
    <t xml:space="preserve">Se muestran solo los de la célula elegida.</t>
  </si>
  <si>
    <t xml:space="preserve">E4-F03</t>
  </si>
  <si>
    <t xml:space="preserve">Como Quality Engineer (QE), quiero resolver o escalar un impedimento registrando la acción tomada</t>
  </si>
  <si>
    <t xml:space="preserve">Para dejar trazabilidad de la gestión</t>
  </si>
  <si>
    <t xml:space="preserve">Resolución</t>
  </si>
  <si>
    <t xml:space="preserve">El impedimento está abierto.</t>
  </si>
  <si>
    <t xml:space="preserve">Lo marca como resuelto con comentario.</t>
  </si>
  <si>
    <t xml:space="preserve">La HDU deja de estar bloqueada y se registra la fecha.</t>
  </si>
  <si>
    <t xml:space="preserve">Escalamiento</t>
  </si>
  <si>
    <t xml:space="preserve">El impedimento excede mi ámbito.</t>
  </si>
  <si>
    <t xml:space="preserve">Lo escala indicando a quién.</t>
  </si>
  <si>
    <t xml:space="preserve">Queda en estado escalado con el responsable indicado.</t>
  </si>
  <si>
    <t xml:space="preserve">Reapertura</t>
  </si>
  <si>
    <t xml:space="preserve">Un impedimento resuelto vuelve a ocurrir.</t>
  </si>
  <si>
    <t xml:space="preserve">Lo reabre.</t>
  </si>
  <si>
    <t xml:space="preserve">Se conserva el historial anterior.</t>
  </si>
  <si>
    <t xml:space="preserve">E4-F04</t>
  </si>
  <si>
    <t xml:space="preserve">Como Quality Engineer (QE), quiero establecer y visualizar el nivel de riesgo de cada HDU</t>
  </si>
  <si>
    <t xml:space="preserve">Para priorizar la supervisión</t>
  </si>
  <si>
    <t xml:space="preserve">Nivel de riesgo</t>
  </si>
  <si>
    <t xml:space="preserve">El QE abre una HDU.</t>
  </si>
  <si>
    <t xml:space="preserve">Selecciona riesgo Alto, Medio o Bajo con justificación.</t>
  </si>
  <si>
    <t xml:space="preserve">Se guarda y se muestra con un semáforo.</t>
  </si>
  <si>
    <t xml:space="preserve">Riesgo sugerido</t>
  </si>
  <si>
    <t xml:space="preserve">La HDU tiene impedimentos abiertos o atraso.</t>
  </si>
  <si>
    <t xml:space="preserve">Abre la HDU.</t>
  </si>
  <si>
    <t xml:space="preserve">Se sugiere un nivel de riesgo que el QE puede confirmar.</t>
  </si>
  <si>
    <t xml:space="preserve">Listado por riesgo</t>
  </si>
  <si>
    <t xml:space="preserve">Existen HDU con distintos riesgos.</t>
  </si>
  <si>
    <t xml:space="preserve">Filtra por riesgo Alto.</t>
  </si>
  <si>
    <t xml:space="preserve">Se muestran solo las HDU de riesgo alto.</t>
  </si>
  <si>
    <t xml:space="preserve">E4-B01</t>
  </si>
  <si>
    <t xml:space="preserve">Como Analista QA, quiero que el sistema registre los impedimentos como entidad vinculada a la HDU</t>
  </si>
  <si>
    <t xml:space="preserve">Para gestionarlos con estados y responsables</t>
  </si>
  <si>
    <t xml:space="preserve">Creación</t>
  </si>
  <si>
    <t xml:space="preserve">Se recibe un impedimento válido.</t>
  </si>
  <si>
    <t xml:space="preserve">Se guarda con HDU, tipo, descripción, creador, responsable y fecha.</t>
  </si>
  <si>
    <t xml:space="preserve">Bloqueo de la HDU</t>
  </si>
  <si>
    <t xml:space="preserve">Se crea un impedimento abierto.</t>
  </si>
  <si>
    <t xml:space="preserve">La HDU se marca como bloqueada automáticamente.</t>
  </si>
  <si>
    <t xml:space="preserve">Ámbito</t>
  </si>
  <si>
    <t xml:space="preserve">Un analista registra un impedimento en una HDU ajena.</t>
  </si>
  <si>
    <t xml:space="preserve">Se rechaza.</t>
  </si>
  <si>
    <t xml:space="preserve">E4-B02</t>
  </si>
  <si>
    <t xml:space="preserve">Como Quality Engineer (QE), quiero que el sistema controle el ciclo de vida de los impedimentos</t>
  </si>
  <si>
    <t xml:space="preserve">Para mantener la información consistente</t>
  </si>
  <si>
    <t xml:space="preserve">Estados válidos</t>
  </si>
  <si>
    <t xml:space="preserve">Se solicita resolver o escalar.</t>
  </si>
  <si>
    <t xml:space="preserve">Se acepta y registra actor y fecha.</t>
  </si>
  <si>
    <t xml:space="preserve">Desbloqueo</t>
  </si>
  <si>
    <t xml:space="preserve">Se resuelve el último impedimento abierto.</t>
  </si>
  <si>
    <t xml:space="preserve">La HDU deja de estar bloqueada.</t>
  </si>
  <si>
    <t xml:space="preserve">El impedimento está resuelto.</t>
  </si>
  <si>
    <t xml:space="preserve">Se solicita escalar.</t>
  </si>
  <si>
    <t xml:space="preserve">Se rechaza; solo puede reabrirse.</t>
  </si>
  <si>
    <t xml:space="preserve">E4-B03</t>
  </si>
  <si>
    <t xml:space="preserve">Como Quality Engineer (QE), quiero que el sistema calcule un riesgo sugerido a partir de impedimentos y atraso</t>
  </si>
  <si>
    <t xml:space="preserve">Para apoyar la priorización del QE</t>
  </si>
  <si>
    <t xml:space="preserve">Impedimento abierto</t>
  </si>
  <si>
    <t xml:space="preserve">La HDU tiene un impedimento abierto.</t>
  </si>
  <si>
    <t xml:space="preserve">Se calcula el riesgo.</t>
  </si>
  <si>
    <t xml:space="preserve">Se sugiere al menos riesgo Medio.</t>
  </si>
  <si>
    <t xml:space="preserve">Atraso en sprint</t>
  </si>
  <si>
    <t xml:space="preserve">La HDU está por cerrar sprint con cumplimiento bajo.</t>
  </si>
  <si>
    <t xml:space="preserve">Se sugiere riesgo Alto.</t>
  </si>
  <si>
    <t xml:space="preserve">Confirmación manual</t>
  </si>
  <si>
    <t xml:space="preserve">El QE fija un riesgo distinto.</t>
  </si>
  <si>
    <t xml:space="preserve">Prevalece el valor del QE y se registra la justificación.</t>
  </si>
  <si>
    <t xml:space="preserve">E4-B04</t>
  </si>
  <si>
    <t xml:space="preserve">Como Administrador, quiero que el sistema audite la gestión de impedimentos y riesgos</t>
  </si>
  <si>
    <t xml:space="preserve">Para tener trazabilidad de las intervenciones</t>
  </si>
  <si>
    <t xml:space="preserve">Cambia el estado de un impedimento o el riesgo.</t>
  </si>
  <si>
    <t xml:space="preserve">Un usuario autorizado pide el historial.</t>
  </si>
  <si>
    <t xml:space="preserve">Se devuelve cronológicamente.</t>
  </si>
  <si>
    <t xml:space="preserve">Retención</t>
  </si>
  <si>
    <t xml:space="preserve">Se cierra la HDU.</t>
  </si>
  <si>
    <t xml:space="preserve">Se consulta el historial.</t>
  </si>
  <si>
    <t xml:space="preserve">Se conserva el registro completo.</t>
  </si>
  <si>
    <t xml:space="preserve">ÉPICA 5 — INTEGRACIÓN CON JIRA CLOUD   ·   Sincronización de lectura de HDU desde Jira Cloud e importación alternativa por CSV/JSON.</t>
  </si>
  <si>
    <t xml:space="preserve">E5-F01</t>
  </si>
  <si>
    <t xml:space="preserve">Como Administrador, quiero configurar la conexión con Jira Cloud (sitio, credenciales y proyecto)</t>
  </si>
  <si>
    <t xml:space="preserve">Para habilitar la sincronización de HDU</t>
  </si>
  <si>
    <t xml:space="preserve">Configuración válida</t>
  </si>
  <si>
    <t xml:space="preserve">El Administrador ingresa los datos.</t>
  </si>
  <si>
    <t xml:space="preserve">Presiona Probar conexión.</t>
  </si>
  <si>
    <t xml:space="preserve">Se confirma la conexión y se guarda la configuración.</t>
  </si>
  <si>
    <t xml:space="preserve">Credenciales inválidas</t>
  </si>
  <si>
    <t xml:space="preserve">El token es incorrecto.</t>
  </si>
  <si>
    <t xml:space="preserve">Se informa el error sin exponer el token.</t>
  </si>
  <si>
    <t xml:space="preserve">Credenciales protegidas</t>
  </si>
  <si>
    <t xml:space="preserve">La configuración existe.</t>
  </si>
  <si>
    <t xml:space="preserve">Vuelve a abrir la pantalla.</t>
  </si>
  <si>
    <t xml:space="preserve">El token se muestra enmascarado.</t>
  </si>
  <si>
    <t xml:space="preserve">E5-F02</t>
  </si>
  <si>
    <t xml:space="preserve">Como Quality Engineer (QE), quiero sincronizar las HDU de un proyecto Jira hacia Quality360</t>
  </si>
  <si>
    <t xml:space="preserve">Para no registrarlas manualmente</t>
  </si>
  <si>
    <t xml:space="preserve">Sincronización</t>
  </si>
  <si>
    <t xml:space="preserve">La conexión está configurada.</t>
  </si>
  <si>
    <t xml:space="preserve">Presiona Sincronizar.</t>
  </si>
  <si>
    <t xml:space="preserve">Se muestran las HDU nuevas y actualizadas, con resumen del resultado.</t>
  </si>
  <si>
    <t xml:space="preserve">Sin cambios</t>
  </si>
  <si>
    <t xml:space="preserve">No hay historias nuevas.</t>
  </si>
  <si>
    <t xml:space="preserve">Se informa que no hubo cambios.</t>
  </si>
  <si>
    <t xml:space="preserve">Error de API</t>
  </si>
  <si>
    <t xml:space="preserve">Jira no responde.</t>
  </si>
  <si>
    <t xml:space="preserve">Se informa el error y se sugiere la importación alternativa.</t>
  </si>
  <si>
    <t xml:space="preserve">E5-F03</t>
  </si>
  <si>
    <t xml:space="preserve">Como Quality Engineer (QE), quiero importar HDU desde un archivo CSV o JSON</t>
  </si>
  <si>
    <t xml:space="preserve">Para contar con una alternativa cuando Jira no esté disponible</t>
  </si>
  <si>
    <t xml:space="preserve">Importación válida</t>
  </si>
  <si>
    <t xml:space="preserve">El archivo cumple el formato.</t>
  </si>
  <si>
    <t xml:space="preserve">Sube el archivo.</t>
  </si>
  <si>
    <t xml:space="preserve">Se muestra una vista previa y luego se importan las HDU.</t>
  </si>
  <si>
    <t xml:space="preserve">Formato inválido</t>
  </si>
  <si>
    <t xml:space="preserve">El archivo tiene columnas faltantes.</t>
  </si>
  <si>
    <t xml:space="preserve">Se indican los errores por fila sin importar nada.</t>
  </si>
  <si>
    <t xml:space="preserve">Duplicados</t>
  </si>
  <si>
    <t xml:space="preserve">Algunas HDU ya existen.</t>
  </si>
  <si>
    <t xml:space="preserve">Confirma la importación.</t>
  </si>
  <si>
    <t xml:space="preserve">Se actualizan las existentes y se informan cuántas.</t>
  </si>
  <si>
    <t xml:space="preserve">E5-F04</t>
  </si>
  <si>
    <t xml:space="preserve">Como Quality Engineer (QE), quiero ver el estado y el historial de sincronizaciones</t>
  </si>
  <si>
    <t xml:space="preserve">Para confiar en la información importada</t>
  </si>
  <si>
    <t xml:space="preserve">Última sincronización</t>
  </si>
  <si>
    <t xml:space="preserve">Existen sincronizaciones previas.</t>
  </si>
  <si>
    <t xml:space="preserve">Abre el panel de integración.</t>
  </si>
  <si>
    <t xml:space="preserve">Se muestra fecha, resultado y cantidad de HDU de la última ejecución.</t>
  </si>
  <si>
    <t xml:space="preserve">Historial</t>
  </si>
  <si>
    <t xml:space="preserve">Hay varias ejecuciones.</t>
  </si>
  <si>
    <t xml:space="preserve">Abre el historial.</t>
  </si>
  <si>
    <t xml:space="preserve">Se listan con fecha, origen (Jira/CSV) y resultado.</t>
  </si>
  <si>
    <t xml:space="preserve">Detalle de errores</t>
  </si>
  <si>
    <t xml:space="preserve">Una ejecución falló parcialmente.</t>
  </si>
  <si>
    <t xml:space="preserve">Se muestran las filas o issues con error.</t>
  </si>
  <si>
    <t xml:space="preserve">E5-B01</t>
  </si>
  <si>
    <t xml:space="preserve">Como Administrador, quiero que el sistema almacene la configuración de Jira de forma segura</t>
  </si>
  <si>
    <t xml:space="preserve">Para proteger las credenciales de integración</t>
  </si>
  <si>
    <t xml:space="preserve">Cifrado</t>
  </si>
  <si>
    <t xml:space="preserve">Se guarda un token.</t>
  </si>
  <si>
    <t xml:space="preserve">Se almacena cifrado y nunca se devuelve en claro.</t>
  </si>
  <si>
    <t xml:space="preserve">Prueba de conexión</t>
  </si>
  <si>
    <t xml:space="preserve">Se solicita probar.</t>
  </si>
  <si>
    <t xml:space="preserve">Se invoca la API de Jira.</t>
  </si>
  <si>
    <t xml:space="preserve">Se devuelve el resultado sin exponer credenciales.</t>
  </si>
  <si>
    <t xml:space="preserve">Solo administrador</t>
  </si>
  <si>
    <t xml:space="preserve">Un QE intenta configurar.</t>
  </si>
  <si>
    <t xml:space="preserve">E5-B02</t>
  </si>
  <si>
    <t xml:space="preserve">Como Quality Engineer (QE), quiero que el sistema consuma la API REST de Jira Cloud y mapee las issues a HDU</t>
  </si>
  <si>
    <t xml:space="preserve">Para sincronizar la información de lectura</t>
  </si>
  <si>
    <t xml:space="preserve">Mapeo de campos</t>
  </si>
  <si>
    <t xml:space="preserve">Se obtienen issues del proyecto.</t>
  </si>
  <si>
    <t xml:space="preserve">Clave, título, sprint, estado y responsable se mapean a la HDU.</t>
  </si>
  <si>
    <t xml:space="preserve">Paginación</t>
  </si>
  <si>
    <t xml:space="preserve">El proyecto tiene más issues que el tamaño de página.</t>
  </si>
  <si>
    <t xml:space="preserve">Se recorren todas las páginas.</t>
  </si>
  <si>
    <t xml:space="preserve">Límite de tasa</t>
  </si>
  <si>
    <t xml:space="preserve">Jira responde con límite excedido.</t>
  </si>
  <si>
    <t xml:space="preserve">Se reintenta con espera y se registra el evento.</t>
  </si>
  <si>
    <t xml:space="preserve">E5-B03</t>
  </si>
  <si>
    <t xml:space="preserve">Como Quality Engineer (QE), quiero que el sistema importe HDU desde CSV/JSON validando su contenido</t>
  </si>
  <si>
    <t xml:space="preserve">Para mantener la calidad de los datos</t>
  </si>
  <si>
    <t xml:space="preserve">Validación</t>
  </si>
  <si>
    <t xml:space="preserve">Se recibe un archivo.</t>
  </si>
  <si>
    <t xml:space="preserve">Se valida esquema, tipos y campos obligatorios.</t>
  </si>
  <si>
    <t xml:space="preserve">Upsert</t>
  </si>
  <si>
    <t xml:space="preserve">Una HDU ya existe.</t>
  </si>
  <si>
    <t xml:space="preserve">Se actualiza sin duplicar y se conserva su checklist.</t>
  </si>
  <si>
    <t xml:space="preserve">Transacción</t>
  </si>
  <si>
    <t xml:space="preserve">Falla una fila en modo estricto.</t>
  </si>
  <si>
    <t xml:space="preserve">No se importa ninguna y se devuelve el detalle.</t>
  </si>
  <si>
    <t xml:space="preserve">E5-B04</t>
  </si>
  <si>
    <t xml:space="preserve">Como Administrador, quiero que el sistema registre cada ejecución de sincronización o importación</t>
  </si>
  <si>
    <t xml:space="preserve">Para tener trazabilidad de la integración</t>
  </si>
  <si>
    <t xml:space="preserve">Termina una ejecución.</t>
  </si>
  <si>
    <t xml:space="preserve">Se guarda origen, actor, fecha, totales y errores.</t>
  </si>
  <si>
    <t xml:space="preserve">Se solicita el historial.</t>
  </si>
  <si>
    <t xml:space="preserve">Se devuelve ordenado por fecha.</t>
  </si>
  <si>
    <t xml:space="preserve">Se registra un error de autenticación.</t>
  </si>
  <si>
    <t xml:space="preserve">No se incluyen tokens en el registro.</t>
  </si>
  <si>
    <t xml:space="preserve">ÉPICA 6 — INDICADORES Y DASHBOARDS   ·   Dashboards de cumplimiento, avance, riesgos, impedimentos y carga de trabajo para la supervisión del QE.</t>
  </si>
  <si>
    <t xml:space="preserve">E6-F01</t>
  </si>
  <si>
    <t xml:space="preserve">Como Quality Engineer (QE), quiero ver un dashboard con el cumplimiento de certificación de mi equipo</t>
  </si>
  <si>
    <t xml:space="preserve">Para supervisar el avance de un vistazo</t>
  </si>
  <si>
    <t xml:space="preserve">Indicadores</t>
  </si>
  <si>
    <t xml:space="preserve">Existen HDU con avance.</t>
  </si>
  <si>
    <t xml:space="preserve">Abre el dashboard.</t>
  </si>
  <si>
    <t xml:space="preserve">Se muestran HDU totales, certificadas, en curso, bloqueadas y cumplimiento promedio.</t>
  </si>
  <si>
    <t xml:space="preserve">Filtro por sprint y célula</t>
  </si>
  <si>
    <t xml:space="preserve">Hay varios sprints y células.</t>
  </si>
  <si>
    <t xml:space="preserve">Aplica filtros.</t>
  </si>
  <si>
    <t xml:space="preserve">Los indicadores se recalculan según la selección.</t>
  </si>
  <si>
    <t xml:space="preserve">No hay HDU en el filtro.</t>
  </si>
  <si>
    <t xml:space="preserve">Se informa que no hay datos, sin cifras ficticias.</t>
  </si>
  <si>
    <t xml:space="preserve">E6-F02</t>
  </si>
  <si>
    <t xml:space="preserve">Como Quality Engineer (QE), quiero ver un semáforo de riesgo e impedimentos por célula</t>
  </si>
  <si>
    <t xml:space="preserve">Para identificar dónde intervenir primero</t>
  </si>
  <si>
    <t xml:space="preserve">Semáforo</t>
  </si>
  <si>
    <t xml:space="preserve">Abre la vista por célula.</t>
  </si>
  <si>
    <t xml:space="preserve">Cada célula muestra su color según riesgo máximo e impedimentos abiertos.</t>
  </si>
  <si>
    <t xml:space="preserve">Drill-down</t>
  </si>
  <si>
    <t xml:space="preserve">Una célula está en rojo.</t>
  </si>
  <si>
    <t xml:space="preserve">La selecciona.</t>
  </si>
  <si>
    <t xml:space="preserve">Se listan las HDU que generan el riesgo.</t>
  </si>
  <si>
    <t xml:space="preserve">Actualización</t>
  </si>
  <si>
    <t xml:space="preserve">Se resuelve un impedimento.</t>
  </si>
  <si>
    <t xml:space="preserve">Vuelve a la vista.</t>
  </si>
  <si>
    <t xml:space="preserve">El semáforo refleja el nuevo estado.</t>
  </si>
  <si>
    <t xml:space="preserve">E6-F03</t>
  </si>
  <si>
    <t xml:space="preserve">Como Quality Engineer (QE), quiero ver la carga de trabajo de cada analista de mi equipo</t>
  </si>
  <si>
    <t xml:space="preserve">Para distribuir las HDU de forma equilibrada</t>
  </si>
  <si>
    <t xml:space="preserve">Carga por analista</t>
  </si>
  <si>
    <t xml:space="preserve">Los analistas tienen HDU asignadas.</t>
  </si>
  <si>
    <t xml:space="preserve">Abre la vista de carga.</t>
  </si>
  <si>
    <t xml:space="preserve">Se muestra por analista la cantidad de HDU por estado y su cumplimiento.</t>
  </si>
  <si>
    <t xml:space="preserve">Sobrecarga</t>
  </si>
  <si>
    <t xml:space="preserve">Un analista supera el umbral configurado.</t>
  </si>
  <si>
    <t xml:space="preserve">Abre la vista.</t>
  </si>
  <si>
    <t xml:space="preserve">Se destaca visualmente.</t>
  </si>
  <si>
    <t xml:space="preserve">Sin asignaciones</t>
  </si>
  <si>
    <t xml:space="preserve">Un analista no tiene HDU.</t>
  </si>
  <si>
    <t xml:space="preserve">Aparece con cero, diferenciado de un error.</t>
  </si>
  <si>
    <t xml:space="preserve">E6-F04</t>
  </si>
  <si>
    <t xml:space="preserve">Como Quality Engineer (QE), quiero ver la tendencia histórica del cumplimiento y exportar el dashboard</t>
  </si>
  <si>
    <t xml:space="preserve">Para reportar el avance a la célula</t>
  </si>
  <si>
    <t xml:space="preserve">Tendencia</t>
  </si>
  <si>
    <t xml:space="preserve">Existen snapshots diarios.</t>
  </si>
  <si>
    <t xml:space="preserve">Abre la gráfica de tendencia.</t>
  </si>
  <si>
    <t xml:space="preserve">Se muestra la evolución del cumplimiento por sprint.</t>
  </si>
  <si>
    <t xml:space="preserve">Exportación</t>
  </si>
  <si>
    <t xml:space="preserve">El QE está en el dashboard.</t>
  </si>
  <si>
    <t xml:space="preserve">Presiona Exportar.</t>
  </si>
  <si>
    <t xml:space="preserve">Se descarga un PDF o CSV con los indicadores filtrados.</t>
  </si>
  <si>
    <t xml:space="preserve">Sin historial</t>
  </si>
  <si>
    <t xml:space="preserve">No hay snapshots.</t>
  </si>
  <si>
    <t xml:space="preserve">Abre la gráfica.</t>
  </si>
  <si>
    <t xml:space="preserve">Se informa que aún no hay historial.</t>
  </si>
  <si>
    <t xml:space="preserve">E6-B01</t>
  </si>
  <si>
    <t xml:space="preserve">Como Quality Engineer (QE), quiero que el sistema calcule los indicadores de cumplimiento sobre datos autorizados</t>
  </si>
  <si>
    <t xml:space="preserve">Para que el dashboard sea confiable</t>
  </si>
  <si>
    <t xml:space="preserve">Cálculo por ámbito</t>
  </si>
  <si>
    <t xml:space="preserve">El QE solicita indicadores.</t>
  </si>
  <si>
    <t xml:space="preserve">Se calculan solo sobre HDU de su ámbito.</t>
  </si>
  <si>
    <t xml:space="preserve">Filtros</t>
  </si>
  <si>
    <t xml:space="preserve">Se envían sprint y célula.</t>
  </si>
  <si>
    <t xml:space="preserve">Los agregados respetan los filtros.</t>
  </si>
  <si>
    <t xml:space="preserve">Consistencia</t>
  </si>
  <si>
    <t xml:space="preserve">Cambia un entregable.</t>
  </si>
  <si>
    <t xml:space="preserve">Se solicita el dashboard.</t>
  </si>
  <si>
    <t xml:space="preserve">Los indicadores reflejan el cambio.</t>
  </si>
  <si>
    <t xml:space="preserve">E6-B02</t>
  </si>
  <si>
    <t xml:space="preserve">Como Quality Engineer (QE), quiero que el sistema agregue riesgo e impedimentos por célula y analista</t>
  </si>
  <si>
    <t xml:space="preserve">Para alimentar el semáforo y la carga de trabajo</t>
  </si>
  <si>
    <t xml:space="preserve">Agregación por célula</t>
  </si>
  <si>
    <t xml:space="preserve">Existen HDU con riesgo e impedimentos.</t>
  </si>
  <si>
    <t xml:space="preserve">Se devuelve por célula el riesgo máximo y los impedimentos abiertos.</t>
  </si>
  <si>
    <t xml:space="preserve">Agregación por analista</t>
  </si>
  <si>
    <t xml:space="preserve">Se solicita la carga.</t>
  </si>
  <si>
    <t xml:space="preserve">Se devuelven HDU por estado y cumplimiento por analista.</t>
  </si>
  <si>
    <t xml:space="preserve">Umbral</t>
  </si>
  <si>
    <t xml:space="preserve">Se configura un umbral de carga.</t>
  </si>
  <si>
    <t xml:space="preserve">Se marca a los analistas que lo superan.</t>
  </si>
  <si>
    <t xml:space="preserve">E6-B03</t>
  </si>
  <si>
    <t xml:space="preserve">Como Administrador, quiero que el sistema genere un snapshot diario de indicadores</t>
  </si>
  <si>
    <t xml:space="preserve">Para disponer de tendencia histórica</t>
  </si>
  <si>
    <t xml:space="preserve">Generación programada</t>
  </si>
  <si>
    <t xml:space="preserve">Llega la hora configurada.</t>
  </si>
  <si>
    <t xml:space="preserve">Se ejecuta la tarea.</t>
  </si>
  <si>
    <t xml:space="preserve">Se guarda un snapshot por célula y sprint.</t>
  </si>
  <si>
    <t xml:space="preserve">Idempotencia</t>
  </si>
  <si>
    <t xml:space="preserve">La tarea se ejecuta dos veces el mismo día.</t>
  </si>
  <si>
    <t xml:space="preserve">Se ejecuta.</t>
  </si>
  <si>
    <t xml:space="preserve">No se duplica el snapshot.</t>
  </si>
  <si>
    <t xml:space="preserve">Se solicita la serie histórica.</t>
  </si>
  <si>
    <t xml:space="preserve">Se devuelve ordenada por fecha.</t>
  </si>
  <si>
    <t xml:space="preserve">E6-B04</t>
  </si>
  <si>
    <t xml:space="preserve">Como Quality Engineer (QE), quiero que el sistema exporte los indicadores del dashboard</t>
  </si>
  <si>
    <t xml:space="preserve">Para compartir reportes con la célula</t>
  </si>
  <si>
    <t xml:space="preserve">Exportación CSV</t>
  </si>
  <si>
    <t xml:space="preserve">Se solicita CSV.</t>
  </si>
  <si>
    <t xml:space="preserve">Se genera con los indicadores filtrados.</t>
  </si>
  <si>
    <t xml:space="preserve">Exportación PDF</t>
  </si>
  <si>
    <t xml:space="preserve">Se solicita PDF.</t>
  </si>
  <si>
    <t xml:space="preserve">Se genera con encabezado, filtros aplicados y fecha.</t>
  </si>
  <si>
    <t xml:space="preserve">Un QE exporta.</t>
  </si>
  <si>
    <t xml:space="preserve">Solo incluye datos de su ámbito.</t>
  </si>
  <si>
    <t xml:space="preserve">Quality360 · Épicas del producto</t>
  </si>
  <si>
    <t xml:space="preserve">Resumen de épicas y cantidad de HDU. Los conteos se calculan desde la hoja Historias de Usuario.</t>
  </si>
  <si>
    <t xml:space="preserve">Épica</t>
  </si>
  <si>
    <t xml:space="preserve">Nombre</t>
  </si>
  <si>
    <t xml:space="preserve">Descripción</t>
  </si>
  <si>
    <t xml:space="preserve">HDU Frontend</t>
  </si>
  <si>
    <t xml:space="preserve">HDU Backend</t>
  </si>
  <si>
    <t xml:space="preserve">Total HDU</t>
  </si>
  <si>
    <t xml:space="preserve">Acceso, portales y organización QA</t>
  </si>
  <si>
    <t xml:space="preserve">Autenticación, autorización por rol y ámbito, portales de inicio y administración de usuarios, roles y supervisión.</t>
  </si>
  <si>
    <t xml:space="preserve">Gestión de historias de usuario (HDU)</t>
  </si>
  <si>
    <t xml:space="preserve">Registro, asignación, estados y consulta de las HDU bajo certificación, organizadas por célula y sprint.</t>
  </si>
  <si>
    <t xml:space="preserve">Certificación y entregables</t>
  </si>
  <si>
    <t xml:space="preserve">Checklist de 10 entregables con trazabilidad (quién/cuándo), evidencias y generación del certificado de cierre.</t>
  </si>
  <si>
    <t xml:space="preserve">Impedimentos y riesgos</t>
  </si>
  <si>
    <t xml:space="preserve">Registro, seguimiento y resolución de impedimentos; clasificación del nivel de riesgo de cada HDU.</t>
  </si>
  <si>
    <t xml:space="preserve">Integración con Jira Cloud</t>
  </si>
  <si>
    <t xml:space="preserve">Sincronización de lectura de HDU desde Jira Cloud e importación alternativa por CSV/JSON.</t>
  </si>
  <si>
    <t xml:space="preserve">Indicadores y dashboards</t>
  </si>
  <si>
    <t xml:space="preserve">Dashboards de cumplimiento, avance, riesgos, impedimentos y carga de trabajo para la supervisión del QE.</t>
  </si>
  <si>
    <t xml:space="preserve">Total</t>
  </si>
  <si>
    <t xml:space="preserve">Relación entre HDU de Frontend y Backend</t>
  </si>
  <si>
    <t xml:space="preserve">Cada funcionalidad visible por el usuario se sostiene en las reglas de backend que la hacen posible.</t>
  </si>
  <si>
    <t xml:space="preserve">Funcionalidad</t>
  </si>
  <si>
    <t xml:space="preserve">E1</t>
  </si>
  <si>
    <t xml:space="preserve">Inicio de sesión</t>
  </si>
  <si>
    <t xml:space="preserve">E1-B01, E1-B02</t>
  </si>
  <si>
    <t xml:space="preserve">Portal e inicio del QE</t>
  </si>
  <si>
    <t xml:space="preserve">E1-F02, E1-F03</t>
  </si>
  <si>
    <t xml:space="preserve">E1-B02, E1-B03</t>
  </si>
  <si>
    <t xml:space="preserve">Equipo supervisado</t>
  </si>
  <si>
    <t xml:space="preserve">Portal e inicio del QA</t>
  </si>
  <si>
    <t xml:space="preserve">E1-F05, E1-F06</t>
  </si>
  <si>
    <t xml:space="preserve">E1-B02, E1-B05</t>
  </si>
  <si>
    <t xml:space="preserve">Portal e inicio administrativo</t>
  </si>
  <si>
    <t xml:space="preserve">E1-F07, E1-F08</t>
  </si>
  <si>
    <t xml:space="preserve">E1-B02, E1-B06</t>
  </si>
  <si>
    <t xml:space="preserve">Usuarios y roles</t>
  </si>
  <si>
    <t xml:space="preserve">E1-B07, E1-B08, E1-B12</t>
  </si>
  <si>
    <t xml:space="preserve">Supervisión</t>
  </si>
  <si>
    <t xml:space="preserve">E1-B09, E1-B12</t>
  </si>
  <si>
    <t xml:space="preserve">Perfil</t>
  </si>
  <si>
    <t xml:space="preserve">E2</t>
  </si>
  <si>
    <t xml:space="preserve">Registro de HDU</t>
  </si>
  <si>
    <t xml:space="preserve">Asignación de analista</t>
  </si>
  <si>
    <t xml:space="preserve">E2-B03, E2-B04</t>
  </si>
  <si>
    <t xml:space="preserve">Listado y filtros</t>
  </si>
  <si>
    <t xml:space="preserve">Detalle y estados</t>
  </si>
  <si>
    <t xml:space="preserve">E2-B02, E2-B04</t>
  </si>
  <si>
    <t xml:space="preserve">E3</t>
  </si>
  <si>
    <t xml:space="preserve">Checklist de entregables</t>
  </si>
  <si>
    <t xml:space="preserve">E3-F01, E3-F02</t>
  </si>
  <si>
    <t xml:space="preserve">E3-B01, E3-B02</t>
  </si>
  <si>
    <t xml:space="preserve">Aprobación del QE</t>
  </si>
  <si>
    <t xml:space="preserve">E3-B02, E3-B04</t>
  </si>
  <si>
    <t xml:space="preserve">Certificado</t>
  </si>
  <si>
    <t xml:space="preserve">E3-B03, E3-B04</t>
  </si>
  <si>
    <t xml:space="preserve">E4</t>
  </si>
  <si>
    <t xml:space="preserve">Registro de impedimentos</t>
  </si>
  <si>
    <t xml:space="preserve">Gestión de impedimentos</t>
  </si>
  <si>
    <t xml:space="preserve">E4-F02, E4-F03</t>
  </si>
  <si>
    <t xml:space="preserve">E4-B02, E4-B04</t>
  </si>
  <si>
    <t xml:space="preserve">E4-B03, E4-B04</t>
  </si>
  <si>
    <t xml:space="preserve">E5</t>
  </si>
  <si>
    <t xml:space="preserve">Configuración Jira</t>
  </si>
  <si>
    <t xml:space="preserve">Sincronización Jira</t>
  </si>
  <si>
    <t xml:space="preserve">E5-B02, E5-B04</t>
  </si>
  <si>
    <t xml:space="preserve">Importación CSV/JSON</t>
  </si>
  <si>
    <t xml:space="preserve">E5-B03, E5-B04</t>
  </si>
  <si>
    <t xml:space="preserve">Historial de integración</t>
  </si>
  <si>
    <t xml:space="preserve">E6</t>
  </si>
  <si>
    <t xml:space="preserve">Dashboard de cumplimiento</t>
  </si>
  <si>
    <t xml:space="preserve">Semáforo y carga</t>
  </si>
  <si>
    <t xml:space="preserve">E6-F02, E6-F03</t>
  </si>
  <si>
    <t xml:space="preserve">Tendencia y exportación</t>
  </si>
  <si>
    <t xml:space="preserve">E6-B03, E6-B04</t>
  </si>
  <si>
    <t xml:space="preserve">Historias de usuario y criterios de aceptación: Instructivo</t>
  </si>
  <si>
    <t xml:space="preserve">Columna</t>
  </si>
  <si>
    <t xml:space="preserve">Instrucciones</t>
  </si>
  <si>
    <t xml:space="preserve">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</si>
  <si>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</si>
  <si>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</si>
  <si>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 xml:space="preserve">Lo que el rol necesita lograr al ejecutar la acción. Este es el resultado de ejecutar la acción desde el punto de vista del rol. Este punto puede ser opcional, pues la historia puede documentarse sólo con la definición del rol y la acción (sin definir la consecuencia).</t>
  </si>
  <si>
    <t xml:space="preserve">Número (ejemplo 1, 2, 3 ó 4), que identifica al escenario asociado a la historia.</t>
  </si>
  <si>
    <t xml:space="preserve">Criterio de aceptación (título)</t>
  </si>
  <si>
    <t xml:space="preserve">Describe el contexto del escenario que define un comportamiento. Por ejemplo, si se toma el ejemplo de búsquedas de productos por categoría, un posible ejemplo pudiera ser: Categoría sin productos asociados.</t>
  </si>
  <si>
    <t xml:space="preserve">Proporciona mayor descripción sobre las condiciones que desencadenan el escenario.</t>
  </si>
  <si>
    <t xml:space="preserve">Representa la acción que el usuario ejecuta, en el contexto definido para el escenario.</t>
  </si>
  <si>
    <t xml:space="preserve">Dado el contexto y la acción ejecutada por el usuario, la consecuencia es el comportamiento del sistema en esa situación.</t>
  </si>
  <si>
    <t xml:space="preserve">Número de la épica a la que pertenece la historia. Ver hoja Épicas para nombre y descripción de cada una.</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</si>
</sst>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22"/>
      <color rgb="FF0B2545"/>
      <name val="Arial"/>
      <family val="0"/>
      <charset val="1"/>
    </font>
    <font>
      <b val="true"/>
      <sz val="11"/>
      <color rgb="FF0E7C75"/>
      <name val="Arial"/>
      <family val="0"/>
      <charset val="1"/>
    </font>
    <font>
      <i val="true"/>
      <sz val="9"/>
      <color rgb="FF52606D"/>
      <name val="Arial"/>
      <family val="0"/>
      <charset val="1"/>
    </font>
    <font>
      <b val="true"/>
      <sz val="11"/>
      <color rgb="FFFFFFFF"/>
      <name val="Arial"/>
      <family val="0"/>
      <charset val="1"/>
    </font>
    <font>
      <b val="true"/>
      <sz val="10"/>
      <color rgb="FFFFFFFF"/>
      <name val="Arial"/>
      <family val="0"/>
      <charset val="1"/>
    </font>
    <font>
      <sz val="10"/>
      <color rgb="FF1F2933"/>
      <name val="Arial"/>
      <family val="0"/>
      <charset val="1"/>
    </font>
    <font>
      <b val="true"/>
      <sz val="10"/>
      <color rgb="FF0B2545"/>
      <name val="Arial"/>
      <family val="0"/>
      <charset val="1"/>
    </font>
    <font>
      <b val="true"/>
      <sz val="20"/>
      <color rgb="FF0B2545"/>
      <name val="Arial"/>
      <family val="0"/>
      <charset val="1"/>
    </font>
    <font>
      <b val="true"/>
      <sz val="10"/>
      <color rgb="FF1F2933"/>
      <name val="Arial"/>
      <family val="0"/>
      <charset val="1"/>
    </font>
    <font>
      <sz val="10"/>
      <color rgb="FF2F6FDB"/>
      <name val="Arial"/>
      <family val="0"/>
      <charset val="1"/>
    </font>
    <font>
      <sz val="10"/>
      <color rgb="FF7C3AED"/>
      <name val="Arial"/>
      <family val="0"/>
      <charset val="1"/>
    </font>
  </fonts>
  <fills count="11">
    <fill>
      <patternFill patternType="none"/>
    </fill>
    <fill>
      <patternFill patternType="gray125"/>
    </fill>
    <fill>
      <patternFill patternType="solid">
        <fgColor rgb="FF0E7C75"/>
        <bgColor rgb="FF008080"/>
      </patternFill>
    </fill>
    <fill>
      <patternFill patternType="solid">
        <fgColor rgb="FF0B2545"/>
        <bgColor rgb="FF1F2933"/>
      </patternFill>
    </fill>
    <fill>
      <patternFill patternType="solid">
        <fgColor rgb="FF13A89E"/>
        <bgColor rgb="FF008080"/>
      </patternFill>
    </fill>
    <fill>
      <patternFill patternType="solid">
        <fgColor rgb="FF2F6FDB"/>
        <bgColor rgb="FF0066CC"/>
      </patternFill>
    </fill>
    <fill>
      <patternFill patternType="solid">
        <fgColor rgb="FFEAF1FA"/>
        <bgColor rgb="FFE4F4F2"/>
      </patternFill>
    </fill>
    <fill>
      <patternFill patternType="solid">
        <fgColor rgb="FFFFFFFF"/>
        <bgColor rgb="FFF3F4F6"/>
      </patternFill>
    </fill>
    <fill>
      <patternFill patternType="solid">
        <fgColor rgb="FF7C3AED"/>
        <bgColor rgb="FF993366"/>
      </patternFill>
    </fill>
    <fill>
      <patternFill patternType="solid">
        <fgColor rgb="FFF3F4F6"/>
        <bgColor rgb="FFEAF1FA"/>
      </patternFill>
    </fill>
    <fill>
      <patternFill patternType="solid">
        <fgColor rgb="FFE4F4F2"/>
        <bgColor rgb="FFEAF1FA"/>
      </patternFill>
    </fill>
  </fills>
  <borders count="2">
    <border diagonalUp="false" diagonalDown="false">
      <left/>
      <right/>
      <top/>
      <bottom/>
      <diagonal/>
    </border>
    <border diagonalUp="false" diagonalDown="false">
      <left style="thin">
        <color rgb="FFC9D3DC"/>
      </left>
      <right style="thin">
        <color rgb="FFC9D3DC"/>
      </right>
      <top style="thin">
        <color rgb="FFC9D3DC"/>
      </top>
      <bottom style="thin">
        <color rgb="FFC9D3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5" fontId="9" fillId="10" borderId="1" xfId="0" applyFont="true" applyBorder="true" applyAlignment="true" applyProtection="false">
      <alignment horizontal="center" vertical="center" textRotation="0" wrapText="true" indent="0" shrinkToFit="false"/>
      <protection locked="true" hidden="false"/>
    </xf>
    <xf numFmtId="165" fontId="12" fillId="10"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5" fontId="12" fillId="7"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right" vertical="center" textRotation="0" wrapText="tru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5"/>
      <rgbColor rgb="FFC0C0C0"/>
      <rgbColor rgb="FF808080"/>
      <rgbColor rgb="FF9999FF"/>
      <rgbColor rgb="FF7C3AED"/>
      <rgbColor rgb="FFF3F4F6"/>
      <rgbColor rgb="FFE4F4F2"/>
      <rgbColor rgb="FF660066"/>
      <rgbColor rgb="FFFF8080"/>
      <rgbColor rgb="FF0066CC"/>
      <rgbColor rgb="FFC9D3DC"/>
      <rgbColor rgb="FF000080"/>
      <rgbColor rgb="FFFF00FF"/>
      <rgbColor rgb="FFFFFF00"/>
      <rgbColor rgb="FF00FFFF"/>
      <rgbColor rgb="FF800080"/>
      <rgbColor rgb="FF800000"/>
      <rgbColor rgb="FF008080"/>
      <rgbColor rgb="FF0000FF"/>
      <rgbColor rgb="FF00CCFF"/>
      <rgbColor rgb="FFEAF1FA"/>
      <rgbColor rgb="FFCCFFCC"/>
      <rgbColor rgb="FFFFFF99"/>
      <rgbColor rgb="FF99CCFF"/>
      <rgbColor rgb="FFFF99CC"/>
      <rgbColor rgb="FFCC99FF"/>
      <rgbColor rgb="FFFFCC99"/>
      <rgbColor rgb="FF2F6FDB"/>
      <rgbColor rgb="FF33CCCC"/>
      <rgbColor rgb="FF99CC00"/>
      <rgbColor rgb="FFFFCC00"/>
      <rgbColor rgb="FFFF9900"/>
      <rgbColor rgb="FFFF6600"/>
      <rgbColor rgb="FF52606D"/>
      <rgbColor rgb="FF969696"/>
      <rgbColor rgb="FF0B2545"/>
      <rgbColor rgb="FF13A89E"/>
      <rgbColor rgb="FF003300"/>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20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12"/>
    <col collapsed="false" customWidth="true" hidden="false" outlineLevel="0" max="3" min="3" style="0" width="20"/>
    <col collapsed="false" customWidth="true" hidden="false" outlineLevel="0" max="4" min="4" style="0" width="34"/>
    <col collapsed="false" customWidth="true" hidden="false" outlineLevel="0" max="5" min="5" style="0" width="26"/>
    <col collapsed="false" customWidth="true" hidden="false" outlineLevel="0" max="6" min="6" style="0" width="10"/>
    <col collapsed="false" customWidth="true" hidden="false" outlineLevel="0" max="7" min="7" style="0" width="24"/>
    <col collapsed="false" customWidth="true" hidden="false" outlineLevel="0" max="8" min="8" style="0" width="38"/>
    <col collapsed="false" customWidth="true" hidden="false" outlineLevel="0" max="9" min="9" style="0" width="32"/>
    <col collapsed="false" customWidth="true" hidden="false" outlineLevel="0" max="10" min="10" style="0" width="48"/>
    <col collapsed="false" customWidth="true" hidden="false" outlineLevel="0" max="11" min="11" style="0" width="9"/>
  </cols>
  <sheetData>
    <row r="1" customFormat="false" ht="33.75" hidden="false" customHeight="true" outlineLevel="0" collapsed="false">
      <c r="B1" s="1" t="s">
        <v>0</v>
      </c>
    </row>
    <row r="2" customFormat="false" ht="15" hidden="false" customHeight="false" outlineLevel="0" collapsed="false">
      <c r="B2" s="2" t="s">
        <v>1</v>
      </c>
    </row>
    <row r="3" customFormat="false" ht="15.75" hidden="false" customHeight="true" outlineLevel="0" collapsed="false">
      <c r="B3" s="3" t="s">
        <v>2</v>
      </c>
    </row>
    <row r="4" customFormat="false" ht="19.5" hidden="false" customHeight="true" outlineLevel="0" collapsed="false">
      <c r="B4" s="4"/>
      <c r="C4" s="4" t="s">
        <v>3</v>
      </c>
      <c r="D4" s="4"/>
      <c r="E4" s="4"/>
      <c r="F4" s="4"/>
      <c r="G4" s="4" t="s">
        <v>4</v>
      </c>
      <c r="H4" s="4"/>
      <c r="I4" s="4"/>
      <c r="J4" s="4"/>
      <c r="K4" s="4"/>
    </row>
    <row r="5" customFormat="false" ht="42" hidden="false" customHeight="true" outlineLevel="0" collapsed="false">
      <c r="B5" s="5" t="s">
        <v>5</v>
      </c>
      <c r="C5" s="5" t="s">
        <v>6</v>
      </c>
      <c r="D5" s="5" t="s">
        <v>7</v>
      </c>
      <c r="E5" s="5" t="s">
        <v>8</v>
      </c>
      <c r="F5" s="5" t="s">
        <v>9</v>
      </c>
      <c r="G5" s="5" t="s">
        <v>10</v>
      </c>
      <c r="H5" s="5" t="s">
        <v>11</v>
      </c>
      <c r="I5" s="5" t="s">
        <v>12</v>
      </c>
      <c r="J5" s="5" t="s">
        <v>13</v>
      </c>
      <c r="K5" s="5" t="s">
        <v>14</v>
      </c>
    </row>
    <row r="6" customFormat="false" ht="21.75" hidden="false" customHeight="true" outlineLevel="0" collapsed="false">
      <c r="B6" s="6" t="s">
        <v>15</v>
      </c>
      <c r="C6" s="6"/>
      <c r="D6" s="6"/>
      <c r="E6" s="6"/>
      <c r="F6" s="6"/>
      <c r="G6" s="6"/>
      <c r="H6" s="6"/>
      <c r="I6" s="6"/>
      <c r="J6" s="6"/>
      <c r="K6" s="6"/>
    </row>
    <row r="7" customFormat="false" ht="42.75" hidden="false" customHeight="true" outlineLevel="0" collapsed="false">
      <c r="B7" s="7" t="s">
        <v>16</v>
      </c>
      <c r="C7" s="8" t="s">
        <v>17</v>
      </c>
      <c r="D7" s="8" t="s">
        <v>18</v>
      </c>
      <c r="E7" s="8" t="s">
        <v>19</v>
      </c>
      <c r="F7" s="9" t="n">
        <v>1</v>
      </c>
      <c r="G7" s="8" t="s">
        <v>20</v>
      </c>
      <c r="H7" s="8" t="s">
        <v>21</v>
      </c>
      <c r="I7" s="8" t="s">
        <v>22</v>
      </c>
      <c r="J7" s="8" t="s">
        <v>23</v>
      </c>
      <c r="K7" s="10" t="n">
        <v>1</v>
      </c>
    </row>
    <row r="8" customFormat="false" ht="30" hidden="false" customHeight="true" outlineLevel="0" collapsed="false">
      <c r="B8" s="7"/>
      <c r="C8" s="8"/>
      <c r="D8" s="8"/>
      <c r="E8" s="8"/>
      <c r="F8" s="9" t="n">
        <v>2</v>
      </c>
      <c r="G8" s="8" t="s">
        <v>24</v>
      </c>
      <c r="H8" s="8" t="s">
        <v>25</v>
      </c>
      <c r="I8" s="8" t="s">
        <v>26</v>
      </c>
      <c r="J8" s="8" t="s">
        <v>27</v>
      </c>
      <c r="K8" s="10"/>
    </row>
    <row r="9" customFormat="false" ht="55.5" hidden="false" customHeight="true" outlineLevel="0" collapsed="false">
      <c r="B9" s="7"/>
      <c r="C9" s="8"/>
      <c r="D9" s="8"/>
      <c r="E9" s="8"/>
      <c r="F9" s="9" t="n">
        <v>3</v>
      </c>
      <c r="G9" s="8" t="s">
        <v>28</v>
      </c>
      <c r="H9" s="8" t="s">
        <v>29</v>
      </c>
      <c r="I9" s="8" t="s">
        <v>26</v>
      </c>
      <c r="J9" s="8" t="s">
        <v>30</v>
      </c>
      <c r="K9" s="10"/>
    </row>
    <row r="10" customFormat="false" ht="30" hidden="false" customHeight="true" outlineLevel="0" collapsed="false">
      <c r="B10" s="7" t="s">
        <v>31</v>
      </c>
      <c r="C10" s="11" t="s">
        <v>32</v>
      </c>
      <c r="D10" s="11" t="s">
        <v>33</v>
      </c>
      <c r="E10" s="11" t="s">
        <v>34</v>
      </c>
      <c r="F10" s="12" t="n">
        <v>1</v>
      </c>
      <c r="G10" s="11" t="s">
        <v>35</v>
      </c>
      <c r="H10" s="11" t="s">
        <v>36</v>
      </c>
      <c r="I10" s="11" t="s">
        <v>37</v>
      </c>
      <c r="J10" s="11" t="s">
        <v>38</v>
      </c>
      <c r="K10" s="13" t="n">
        <v>1</v>
      </c>
    </row>
    <row r="11" customFormat="false" ht="30" hidden="false" customHeight="true" outlineLevel="0" collapsed="false">
      <c r="B11" s="7"/>
      <c r="C11" s="11"/>
      <c r="D11" s="11"/>
      <c r="E11" s="11"/>
      <c r="F11" s="12" t="n">
        <v>2</v>
      </c>
      <c r="G11" s="11" t="s">
        <v>39</v>
      </c>
      <c r="H11" s="11" t="s">
        <v>40</v>
      </c>
      <c r="I11" s="11" t="s">
        <v>41</v>
      </c>
      <c r="J11" s="11" t="s">
        <v>42</v>
      </c>
      <c r="K11" s="13"/>
    </row>
    <row r="12" customFormat="false" ht="42.75" hidden="false" customHeight="true" outlineLevel="0" collapsed="false">
      <c r="B12" s="7"/>
      <c r="C12" s="11"/>
      <c r="D12" s="11"/>
      <c r="E12" s="11"/>
      <c r="F12" s="12" t="n">
        <v>3</v>
      </c>
      <c r="G12" s="11" t="s">
        <v>43</v>
      </c>
      <c r="H12" s="11" t="s">
        <v>44</v>
      </c>
      <c r="I12" s="11" t="s">
        <v>45</v>
      </c>
      <c r="J12" s="11" t="s">
        <v>46</v>
      </c>
      <c r="K12" s="13"/>
    </row>
    <row r="13" customFormat="false" ht="42.75" hidden="false" customHeight="true" outlineLevel="0" collapsed="false">
      <c r="B13" s="7" t="s">
        <v>47</v>
      </c>
      <c r="C13" s="8" t="s">
        <v>32</v>
      </c>
      <c r="D13" s="8" t="s">
        <v>48</v>
      </c>
      <c r="E13" s="8" t="s">
        <v>49</v>
      </c>
      <c r="F13" s="9" t="n">
        <v>1</v>
      </c>
      <c r="G13" s="8" t="s">
        <v>50</v>
      </c>
      <c r="H13" s="8" t="s">
        <v>51</v>
      </c>
      <c r="I13" s="8" t="s">
        <v>52</v>
      </c>
      <c r="J13" s="8" t="s">
        <v>53</v>
      </c>
      <c r="K13" s="10" t="n">
        <v>1</v>
      </c>
    </row>
    <row r="14" customFormat="false" ht="30" hidden="false" customHeight="true" outlineLevel="0" collapsed="false">
      <c r="B14" s="7"/>
      <c r="C14" s="8"/>
      <c r="D14" s="8"/>
      <c r="E14" s="8"/>
      <c r="F14" s="9" t="n">
        <v>2</v>
      </c>
      <c r="G14" s="8" t="s">
        <v>54</v>
      </c>
      <c r="H14" s="8" t="s">
        <v>55</v>
      </c>
      <c r="I14" s="8" t="s">
        <v>52</v>
      </c>
      <c r="J14" s="8" t="s">
        <v>56</v>
      </c>
      <c r="K14" s="10"/>
    </row>
    <row r="15" customFormat="false" ht="42.75" hidden="false" customHeight="true" outlineLevel="0" collapsed="false">
      <c r="B15" s="7"/>
      <c r="C15" s="8"/>
      <c r="D15" s="8"/>
      <c r="E15" s="8"/>
      <c r="F15" s="9" t="n">
        <v>3</v>
      </c>
      <c r="G15" s="8" t="s">
        <v>57</v>
      </c>
      <c r="H15" s="8" t="s">
        <v>58</v>
      </c>
      <c r="I15" s="8" t="s">
        <v>52</v>
      </c>
      <c r="J15" s="8" t="s">
        <v>59</v>
      </c>
      <c r="K15" s="10"/>
    </row>
    <row r="16" customFormat="false" ht="42.75" hidden="false" customHeight="true" outlineLevel="0" collapsed="false">
      <c r="B16" s="7" t="s">
        <v>60</v>
      </c>
      <c r="C16" s="11" t="s">
        <v>32</v>
      </c>
      <c r="D16" s="11" t="s">
        <v>61</v>
      </c>
      <c r="E16" s="11" t="s">
        <v>62</v>
      </c>
      <c r="F16" s="12" t="n">
        <v>1</v>
      </c>
      <c r="G16" s="11" t="s">
        <v>63</v>
      </c>
      <c r="H16" s="11" t="s">
        <v>64</v>
      </c>
      <c r="I16" s="11" t="s">
        <v>65</v>
      </c>
      <c r="J16" s="11" t="s">
        <v>66</v>
      </c>
      <c r="K16" s="13" t="n">
        <v>1</v>
      </c>
    </row>
    <row r="17" customFormat="false" ht="30" hidden="false" customHeight="true" outlineLevel="0" collapsed="false">
      <c r="B17" s="7"/>
      <c r="C17" s="11"/>
      <c r="D17" s="11"/>
      <c r="E17" s="11"/>
      <c r="F17" s="12" t="n">
        <v>2</v>
      </c>
      <c r="G17" s="11" t="s">
        <v>67</v>
      </c>
      <c r="H17" s="11" t="s">
        <v>68</v>
      </c>
      <c r="I17" s="11" t="s">
        <v>65</v>
      </c>
      <c r="J17" s="11" t="s">
        <v>69</v>
      </c>
      <c r="K17" s="13"/>
    </row>
    <row r="18" customFormat="false" ht="16.5" hidden="false" customHeight="true" outlineLevel="0" collapsed="false">
      <c r="B18" s="7"/>
      <c r="C18" s="11"/>
      <c r="D18" s="11"/>
      <c r="E18" s="11"/>
      <c r="F18" s="12" t="n">
        <v>3</v>
      </c>
      <c r="G18" s="11" t="s">
        <v>70</v>
      </c>
      <c r="H18" s="11" t="s">
        <v>71</v>
      </c>
      <c r="I18" s="11" t="s">
        <v>65</v>
      </c>
      <c r="J18" s="11" t="s">
        <v>72</v>
      </c>
      <c r="K18" s="13"/>
    </row>
    <row r="19" customFormat="false" ht="30" hidden="false" customHeight="true" outlineLevel="0" collapsed="false">
      <c r="B19" s="7" t="s">
        <v>73</v>
      </c>
      <c r="C19" s="8" t="s">
        <v>74</v>
      </c>
      <c r="D19" s="8" t="s">
        <v>75</v>
      </c>
      <c r="E19" s="8" t="s">
        <v>76</v>
      </c>
      <c r="F19" s="9" t="n">
        <v>1</v>
      </c>
      <c r="G19" s="8" t="s">
        <v>77</v>
      </c>
      <c r="H19" s="8" t="s">
        <v>78</v>
      </c>
      <c r="I19" s="8" t="s">
        <v>37</v>
      </c>
      <c r="J19" s="8" t="s">
        <v>79</v>
      </c>
      <c r="K19" s="10" t="n">
        <v>1</v>
      </c>
    </row>
    <row r="20" customFormat="false" ht="30" hidden="false" customHeight="true" outlineLevel="0" collapsed="false">
      <c r="B20" s="7"/>
      <c r="C20" s="8"/>
      <c r="D20" s="8"/>
      <c r="E20" s="8"/>
      <c r="F20" s="9" t="n">
        <v>2</v>
      </c>
      <c r="G20" s="8" t="s">
        <v>80</v>
      </c>
      <c r="H20" s="8" t="s">
        <v>81</v>
      </c>
      <c r="I20" s="8" t="s">
        <v>82</v>
      </c>
      <c r="J20" s="8" t="s">
        <v>83</v>
      </c>
      <c r="K20" s="10"/>
    </row>
    <row r="21" customFormat="false" ht="30" hidden="false" customHeight="true" outlineLevel="0" collapsed="false">
      <c r="B21" s="7"/>
      <c r="C21" s="8"/>
      <c r="D21" s="8"/>
      <c r="E21" s="8"/>
      <c r="F21" s="9" t="n">
        <v>3</v>
      </c>
      <c r="G21" s="8" t="s">
        <v>84</v>
      </c>
      <c r="H21" s="8" t="s">
        <v>85</v>
      </c>
      <c r="I21" s="8" t="s">
        <v>86</v>
      </c>
      <c r="J21" s="8" t="s">
        <v>87</v>
      </c>
      <c r="K21" s="10"/>
    </row>
    <row r="22" customFormat="false" ht="42.75" hidden="false" customHeight="true" outlineLevel="0" collapsed="false">
      <c r="B22" s="7" t="s">
        <v>88</v>
      </c>
      <c r="C22" s="11" t="s">
        <v>74</v>
      </c>
      <c r="D22" s="11" t="s">
        <v>89</v>
      </c>
      <c r="E22" s="11" t="s">
        <v>90</v>
      </c>
      <c r="F22" s="12" t="n">
        <v>1</v>
      </c>
      <c r="G22" s="11" t="s">
        <v>91</v>
      </c>
      <c r="H22" s="11" t="s">
        <v>92</v>
      </c>
      <c r="I22" s="11" t="s">
        <v>52</v>
      </c>
      <c r="J22" s="11" t="s">
        <v>93</v>
      </c>
      <c r="K22" s="13" t="n">
        <v>1</v>
      </c>
    </row>
    <row r="23" customFormat="false" ht="16.5" hidden="false" customHeight="true" outlineLevel="0" collapsed="false">
      <c r="B23" s="7"/>
      <c r="C23" s="11"/>
      <c r="D23" s="11"/>
      <c r="E23" s="11"/>
      <c r="F23" s="12" t="n">
        <v>2</v>
      </c>
      <c r="G23" s="11" t="s">
        <v>94</v>
      </c>
      <c r="H23" s="11" t="s">
        <v>95</v>
      </c>
      <c r="I23" s="11" t="s">
        <v>52</v>
      </c>
      <c r="J23" s="11" t="s">
        <v>96</v>
      </c>
      <c r="K23" s="13"/>
    </row>
    <row r="24" customFormat="false" ht="30" hidden="false" customHeight="true" outlineLevel="0" collapsed="false">
      <c r="B24" s="7"/>
      <c r="C24" s="11"/>
      <c r="D24" s="11"/>
      <c r="E24" s="11"/>
      <c r="F24" s="12" t="n">
        <v>3</v>
      </c>
      <c r="G24" s="11" t="s">
        <v>97</v>
      </c>
      <c r="H24" s="11" t="s">
        <v>98</v>
      </c>
      <c r="I24" s="11" t="s">
        <v>52</v>
      </c>
      <c r="J24" s="11" t="s">
        <v>99</v>
      </c>
      <c r="K24" s="13"/>
    </row>
    <row r="25" customFormat="false" ht="30" hidden="false" customHeight="true" outlineLevel="0" collapsed="false">
      <c r="B25" s="7" t="s">
        <v>100</v>
      </c>
      <c r="C25" s="8" t="s">
        <v>101</v>
      </c>
      <c r="D25" s="8" t="s">
        <v>102</v>
      </c>
      <c r="E25" s="8" t="s">
        <v>103</v>
      </c>
      <c r="F25" s="9" t="n">
        <v>1</v>
      </c>
      <c r="G25" s="8" t="s">
        <v>104</v>
      </c>
      <c r="H25" s="8" t="s">
        <v>105</v>
      </c>
      <c r="I25" s="8" t="s">
        <v>37</v>
      </c>
      <c r="J25" s="8" t="s">
        <v>106</v>
      </c>
      <c r="K25" s="10" t="n">
        <v>1</v>
      </c>
    </row>
    <row r="26" customFormat="false" ht="30" hidden="false" customHeight="true" outlineLevel="0" collapsed="false">
      <c r="B26" s="7"/>
      <c r="C26" s="8"/>
      <c r="D26" s="8"/>
      <c r="E26" s="8"/>
      <c r="F26" s="9" t="n">
        <v>2</v>
      </c>
      <c r="G26" s="8" t="s">
        <v>107</v>
      </c>
      <c r="H26" s="8" t="s">
        <v>108</v>
      </c>
      <c r="I26" s="8" t="s">
        <v>109</v>
      </c>
      <c r="J26" s="8" t="s">
        <v>110</v>
      </c>
      <c r="K26" s="10"/>
    </row>
    <row r="27" customFormat="false" ht="16.5" hidden="false" customHeight="true" outlineLevel="0" collapsed="false">
      <c r="B27" s="7"/>
      <c r="C27" s="8"/>
      <c r="D27" s="8"/>
      <c r="E27" s="8"/>
      <c r="F27" s="9" t="n">
        <v>3</v>
      </c>
      <c r="G27" s="8" t="s">
        <v>111</v>
      </c>
      <c r="H27" s="8" t="s">
        <v>112</v>
      </c>
      <c r="I27" s="8" t="s">
        <v>113</v>
      </c>
      <c r="J27" s="8" t="s">
        <v>114</v>
      </c>
      <c r="K27" s="10"/>
    </row>
    <row r="28" customFormat="false" ht="30" hidden="false" customHeight="true" outlineLevel="0" collapsed="false">
      <c r="B28" s="7" t="s">
        <v>115</v>
      </c>
      <c r="C28" s="11" t="s">
        <v>101</v>
      </c>
      <c r="D28" s="11" t="s">
        <v>116</v>
      </c>
      <c r="E28" s="11" t="s">
        <v>117</v>
      </c>
      <c r="F28" s="12" t="n">
        <v>1</v>
      </c>
      <c r="G28" s="11" t="s">
        <v>118</v>
      </c>
      <c r="H28" s="11" t="s">
        <v>119</v>
      </c>
      <c r="I28" s="11" t="s">
        <v>120</v>
      </c>
      <c r="J28" s="11" t="s">
        <v>121</v>
      </c>
      <c r="K28" s="13" t="n">
        <v>1</v>
      </c>
    </row>
    <row r="29" customFormat="false" ht="30" hidden="false" customHeight="true" outlineLevel="0" collapsed="false">
      <c r="B29" s="7"/>
      <c r="C29" s="11"/>
      <c r="D29" s="11"/>
      <c r="E29" s="11"/>
      <c r="F29" s="12" t="n">
        <v>2</v>
      </c>
      <c r="G29" s="11" t="s">
        <v>122</v>
      </c>
      <c r="H29" s="11" t="s">
        <v>123</v>
      </c>
      <c r="I29" s="11" t="s">
        <v>124</v>
      </c>
      <c r="J29" s="11" t="s">
        <v>125</v>
      </c>
      <c r="K29" s="13"/>
    </row>
    <row r="30" customFormat="false" ht="16.5" hidden="false" customHeight="true" outlineLevel="0" collapsed="false">
      <c r="B30" s="7"/>
      <c r="C30" s="11"/>
      <c r="D30" s="11"/>
      <c r="E30" s="11"/>
      <c r="F30" s="12" t="n">
        <v>3</v>
      </c>
      <c r="G30" s="11" t="s">
        <v>126</v>
      </c>
      <c r="H30" s="11" t="s">
        <v>127</v>
      </c>
      <c r="I30" s="11" t="s">
        <v>128</v>
      </c>
      <c r="J30" s="11" t="s">
        <v>129</v>
      </c>
      <c r="K30" s="13"/>
    </row>
    <row r="31" customFormat="false" ht="30" hidden="false" customHeight="true" outlineLevel="0" collapsed="false">
      <c r="B31" s="7" t="s">
        <v>130</v>
      </c>
      <c r="C31" s="8" t="s">
        <v>101</v>
      </c>
      <c r="D31" s="8" t="s">
        <v>131</v>
      </c>
      <c r="E31" s="8" t="s">
        <v>132</v>
      </c>
      <c r="F31" s="9" t="n">
        <v>1</v>
      </c>
      <c r="G31" s="8" t="s">
        <v>133</v>
      </c>
      <c r="H31" s="8" t="s">
        <v>134</v>
      </c>
      <c r="I31" s="8" t="s">
        <v>135</v>
      </c>
      <c r="J31" s="8" t="s">
        <v>136</v>
      </c>
      <c r="K31" s="10" t="n">
        <v>1</v>
      </c>
    </row>
    <row r="32" customFormat="false" ht="30" hidden="false" customHeight="true" outlineLevel="0" collapsed="false">
      <c r="B32" s="7"/>
      <c r="C32" s="8"/>
      <c r="D32" s="8"/>
      <c r="E32" s="8"/>
      <c r="F32" s="9" t="n">
        <v>2</v>
      </c>
      <c r="G32" s="8" t="s">
        <v>137</v>
      </c>
      <c r="H32" s="8" t="s">
        <v>138</v>
      </c>
      <c r="I32" s="8" t="s">
        <v>139</v>
      </c>
      <c r="J32" s="8" t="s">
        <v>140</v>
      </c>
      <c r="K32" s="10"/>
    </row>
    <row r="33" customFormat="false" ht="30" hidden="false" customHeight="true" outlineLevel="0" collapsed="false">
      <c r="B33" s="7"/>
      <c r="C33" s="8"/>
      <c r="D33" s="8"/>
      <c r="E33" s="8"/>
      <c r="F33" s="9" t="n">
        <v>3</v>
      </c>
      <c r="G33" s="8" t="s">
        <v>141</v>
      </c>
      <c r="H33" s="8" t="s">
        <v>142</v>
      </c>
      <c r="I33" s="8" t="s">
        <v>143</v>
      </c>
      <c r="J33" s="8" t="s">
        <v>144</v>
      </c>
      <c r="K33" s="10"/>
    </row>
    <row r="34" customFormat="false" ht="30" hidden="false" customHeight="true" outlineLevel="0" collapsed="false">
      <c r="B34" s="7" t="s">
        <v>145</v>
      </c>
      <c r="C34" s="11" t="s">
        <v>101</v>
      </c>
      <c r="D34" s="11" t="s">
        <v>146</v>
      </c>
      <c r="E34" s="11" t="s">
        <v>147</v>
      </c>
      <c r="F34" s="12" t="n">
        <v>1</v>
      </c>
      <c r="G34" s="11" t="s">
        <v>148</v>
      </c>
      <c r="H34" s="11" t="s">
        <v>149</v>
      </c>
      <c r="I34" s="11" t="s">
        <v>150</v>
      </c>
      <c r="J34" s="11" t="s">
        <v>151</v>
      </c>
      <c r="K34" s="13" t="n">
        <v>1</v>
      </c>
    </row>
    <row r="35" customFormat="false" ht="30" hidden="false" customHeight="true" outlineLevel="0" collapsed="false">
      <c r="B35" s="7"/>
      <c r="C35" s="11"/>
      <c r="D35" s="11"/>
      <c r="E35" s="11"/>
      <c r="F35" s="12" t="n">
        <v>2</v>
      </c>
      <c r="G35" s="11" t="s">
        <v>152</v>
      </c>
      <c r="H35" s="11" t="s">
        <v>153</v>
      </c>
      <c r="I35" s="11" t="s">
        <v>154</v>
      </c>
      <c r="J35" s="11" t="s">
        <v>155</v>
      </c>
      <c r="K35" s="13"/>
    </row>
    <row r="36" customFormat="false" ht="30" hidden="false" customHeight="true" outlineLevel="0" collapsed="false">
      <c r="B36" s="7"/>
      <c r="C36" s="11"/>
      <c r="D36" s="11"/>
      <c r="E36" s="11"/>
      <c r="F36" s="12" t="n">
        <v>3</v>
      </c>
      <c r="G36" s="11" t="s">
        <v>156</v>
      </c>
      <c r="H36" s="11" t="s">
        <v>157</v>
      </c>
      <c r="I36" s="11" t="s">
        <v>158</v>
      </c>
      <c r="J36" s="11" t="s">
        <v>159</v>
      </c>
      <c r="K36" s="13"/>
    </row>
    <row r="37" customFormat="false" ht="16.5" hidden="false" customHeight="true" outlineLevel="0" collapsed="false">
      <c r="B37" s="7" t="s">
        <v>160</v>
      </c>
      <c r="C37" s="8" t="s">
        <v>161</v>
      </c>
      <c r="D37" s="8" t="s">
        <v>162</v>
      </c>
      <c r="E37" s="8" t="s">
        <v>163</v>
      </c>
      <c r="F37" s="9" t="n">
        <v>1</v>
      </c>
      <c r="G37" s="8" t="s">
        <v>164</v>
      </c>
      <c r="H37" s="8" t="s">
        <v>165</v>
      </c>
      <c r="I37" s="8" t="s">
        <v>166</v>
      </c>
      <c r="J37" s="8" t="s">
        <v>167</v>
      </c>
      <c r="K37" s="10" t="n">
        <v>1</v>
      </c>
    </row>
    <row r="38" customFormat="false" ht="30" hidden="false" customHeight="true" outlineLevel="0" collapsed="false">
      <c r="B38" s="7"/>
      <c r="C38" s="8"/>
      <c r="D38" s="8"/>
      <c r="E38" s="8"/>
      <c r="F38" s="9" t="n">
        <v>2</v>
      </c>
      <c r="G38" s="8" t="s">
        <v>168</v>
      </c>
      <c r="H38" s="8" t="s">
        <v>169</v>
      </c>
      <c r="I38" s="8" t="s">
        <v>170</v>
      </c>
      <c r="J38" s="8" t="s">
        <v>171</v>
      </c>
      <c r="K38" s="10"/>
    </row>
    <row r="39" customFormat="false" ht="30" hidden="false" customHeight="true" outlineLevel="0" collapsed="false">
      <c r="B39" s="7"/>
      <c r="C39" s="8"/>
      <c r="D39" s="8"/>
      <c r="E39" s="8"/>
      <c r="F39" s="9" t="n">
        <v>3</v>
      </c>
      <c r="G39" s="8" t="s">
        <v>172</v>
      </c>
      <c r="H39" s="8" t="s">
        <v>173</v>
      </c>
      <c r="I39" s="8" t="s">
        <v>174</v>
      </c>
      <c r="J39" s="8" t="s">
        <v>175</v>
      </c>
      <c r="K39" s="10"/>
    </row>
    <row r="40" customFormat="false" ht="30" hidden="false" customHeight="true" outlineLevel="0" collapsed="false">
      <c r="B40" s="7" t="s">
        <v>176</v>
      </c>
      <c r="C40" s="11" t="s">
        <v>161</v>
      </c>
      <c r="D40" s="11" t="s">
        <v>177</v>
      </c>
      <c r="E40" s="11" t="s">
        <v>178</v>
      </c>
      <c r="F40" s="12" t="n">
        <v>1</v>
      </c>
      <c r="G40" s="11" t="s">
        <v>179</v>
      </c>
      <c r="H40" s="11" t="s">
        <v>180</v>
      </c>
      <c r="I40" s="11" t="s">
        <v>181</v>
      </c>
      <c r="J40" s="11" t="s">
        <v>182</v>
      </c>
      <c r="K40" s="13" t="n">
        <v>1</v>
      </c>
    </row>
    <row r="41" customFormat="false" ht="16.5" hidden="false" customHeight="true" outlineLevel="0" collapsed="false">
      <c r="B41" s="7"/>
      <c r="C41" s="11"/>
      <c r="D41" s="11"/>
      <c r="E41" s="11"/>
      <c r="F41" s="12" t="n">
        <v>2</v>
      </c>
      <c r="G41" s="11" t="s">
        <v>183</v>
      </c>
      <c r="H41" s="11" t="s">
        <v>165</v>
      </c>
      <c r="I41" s="11" t="s">
        <v>184</v>
      </c>
      <c r="J41" s="11" t="s">
        <v>185</v>
      </c>
      <c r="K41" s="13"/>
    </row>
    <row r="42" customFormat="false" ht="30" hidden="false" customHeight="true" outlineLevel="0" collapsed="false">
      <c r="B42" s="7"/>
      <c r="C42" s="11"/>
      <c r="D42" s="11"/>
      <c r="E42" s="11"/>
      <c r="F42" s="12" t="n">
        <v>3</v>
      </c>
      <c r="G42" s="11" t="s">
        <v>186</v>
      </c>
      <c r="H42" s="11" t="s">
        <v>187</v>
      </c>
      <c r="I42" s="11" t="s">
        <v>188</v>
      </c>
      <c r="J42" s="11" t="s">
        <v>189</v>
      </c>
      <c r="K42" s="13"/>
    </row>
    <row r="43" customFormat="false" ht="30" hidden="false" customHeight="true" outlineLevel="0" collapsed="false">
      <c r="B43" s="14" t="s">
        <v>190</v>
      </c>
      <c r="C43" s="15" t="s">
        <v>191</v>
      </c>
      <c r="D43" s="15" t="s">
        <v>192</v>
      </c>
      <c r="E43" s="15" t="s">
        <v>193</v>
      </c>
      <c r="F43" s="16" t="n">
        <v>1</v>
      </c>
      <c r="G43" s="15" t="s">
        <v>194</v>
      </c>
      <c r="H43" s="15" t="s">
        <v>195</v>
      </c>
      <c r="I43" s="15" t="s">
        <v>196</v>
      </c>
      <c r="J43" s="15" t="s">
        <v>197</v>
      </c>
      <c r="K43" s="17" t="n">
        <v>1</v>
      </c>
    </row>
    <row r="44" customFormat="false" ht="30" hidden="false" customHeight="true" outlineLevel="0" collapsed="false">
      <c r="B44" s="14"/>
      <c r="C44" s="15"/>
      <c r="D44" s="15"/>
      <c r="E44" s="15"/>
      <c r="F44" s="16" t="n">
        <v>2</v>
      </c>
      <c r="G44" s="15" t="s">
        <v>198</v>
      </c>
      <c r="H44" s="15" t="s">
        <v>199</v>
      </c>
      <c r="I44" s="15" t="s">
        <v>196</v>
      </c>
      <c r="J44" s="15" t="s">
        <v>200</v>
      </c>
      <c r="K44" s="17"/>
    </row>
    <row r="45" customFormat="false" ht="30" hidden="false" customHeight="true" outlineLevel="0" collapsed="false">
      <c r="B45" s="14"/>
      <c r="C45" s="15"/>
      <c r="D45" s="15"/>
      <c r="E45" s="15"/>
      <c r="F45" s="16" t="n">
        <v>3</v>
      </c>
      <c r="G45" s="15" t="s">
        <v>201</v>
      </c>
      <c r="H45" s="15" t="s">
        <v>202</v>
      </c>
      <c r="I45" s="15" t="s">
        <v>203</v>
      </c>
      <c r="J45" s="15" t="s">
        <v>204</v>
      </c>
      <c r="K45" s="17"/>
    </row>
    <row r="46" customFormat="false" ht="30" hidden="false" customHeight="true" outlineLevel="0" collapsed="false">
      <c r="B46" s="14" t="s">
        <v>205</v>
      </c>
      <c r="C46" s="11" t="s">
        <v>161</v>
      </c>
      <c r="D46" s="11" t="s">
        <v>206</v>
      </c>
      <c r="E46" s="11" t="s">
        <v>207</v>
      </c>
      <c r="F46" s="12" t="n">
        <v>1</v>
      </c>
      <c r="G46" s="11" t="s">
        <v>208</v>
      </c>
      <c r="H46" s="11" t="s">
        <v>209</v>
      </c>
      <c r="I46" s="11" t="s">
        <v>210</v>
      </c>
      <c r="J46" s="11" t="s">
        <v>211</v>
      </c>
      <c r="K46" s="13" t="n">
        <v>1</v>
      </c>
    </row>
    <row r="47" customFormat="false" ht="30" hidden="false" customHeight="true" outlineLevel="0" collapsed="false">
      <c r="B47" s="14"/>
      <c r="C47" s="11"/>
      <c r="D47" s="11"/>
      <c r="E47" s="11"/>
      <c r="F47" s="12" t="n">
        <v>2</v>
      </c>
      <c r="G47" s="11" t="s">
        <v>212</v>
      </c>
      <c r="H47" s="11" t="s">
        <v>213</v>
      </c>
      <c r="I47" s="11" t="s">
        <v>214</v>
      </c>
      <c r="J47" s="11" t="s">
        <v>215</v>
      </c>
      <c r="K47" s="13"/>
    </row>
    <row r="48" customFormat="false" ht="30" hidden="false" customHeight="true" outlineLevel="0" collapsed="false">
      <c r="B48" s="14"/>
      <c r="C48" s="11"/>
      <c r="D48" s="11"/>
      <c r="E48" s="11"/>
      <c r="F48" s="12" t="n">
        <v>3</v>
      </c>
      <c r="G48" s="11" t="s">
        <v>216</v>
      </c>
      <c r="H48" s="11" t="s">
        <v>217</v>
      </c>
      <c r="I48" s="11" t="s">
        <v>214</v>
      </c>
      <c r="J48" s="11" t="s">
        <v>218</v>
      </c>
      <c r="K48" s="13"/>
    </row>
    <row r="49" customFormat="false" ht="30" hidden="false" customHeight="true" outlineLevel="0" collapsed="false">
      <c r="B49" s="14" t="s">
        <v>219</v>
      </c>
      <c r="C49" s="15" t="s">
        <v>32</v>
      </c>
      <c r="D49" s="15" t="s">
        <v>220</v>
      </c>
      <c r="E49" s="15" t="s">
        <v>221</v>
      </c>
      <c r="F49" s="16" t="n">
        <v>1</v>
      </c>
      <c r="G49" s="15" t="s">
        <v>222</v>
      </c>
      <c r="H49" s="15" t="s">
        <v>223</v>
      </c>
      <c r="I49" s="15" t="s">
        <v>224</v>
      </c>
      <c r="J49" s="15" t="s">
        <v>225</v>
      </c>
      <c r="K49" s="17" t="n">
        <v>1</v>
      </c>
    </row>
    <row r="50" customFormat="false" ht="30" hidden="false" customHeight="true" outlineLevel="0" collapsed="false">
      <c r="B50" s="14"/>
      <c r="C50" s="15"/>
      <c r="D50" s="15"/>
      <c r="E50" s="15"/>
      <c r="F50" s="16" t="n">
        <v>2</v>
      </c>
      <c r="G50" s="15" t="s">
        <v>226</v>
      </c>
      <c r="H50" s="15" t="s">
        <v>227</v>
      </c>
      <c r="I50" s="15" t="s">
        <v>224</v>
      </c>
      <c r="J50" s="15" t="s">
        <v>228</v>
      </c>
      <c r="K50" s="17"/>
    </row>
    <row r="51" customFormat="false" ht="30" hidden="false" customHeight="true" outlineLevel="0" collapsed="false">
      <c r="B51" s="14"/>
      <c r="C51" s="15"/>
      <c r="D51" s="15"/>
      <c r="E51" s="15"/>
      <c r="F51" s="16" t="n">
        <v>3</v>
      </c>
      <c r="G51" s="15" t="s">
        <v>229</v>
      </c>
      <c r="H51" s="15" t="s">
        <v>230</v>
      </c>
      <c r="I51" s="15" t="s">
        <v>224</v>
      </c>
      <c r="J51" s="15" t="s">
        <v>231</v>
      </c>
      <c r="K51" s="17"/>
    </row>
    <row r="52" customFormat="false" ht="30" hidden="false" customHeight="true" outlineLevel="0" collapsed="false">
      <c r="B52" s="14" t="s">
        <v>232</v>
      </c>
      <c r="C52" s="11" t="s">
        <v>32</v>
      </c>
      <c r="D52" s="11" t="s">
        <v>233</v>
      </c>
      <c r="E52" s="11" t="s">
        <v>234</v>
      </c>
      <c r="F52" s="12" t="n">
        <v>1</v>
      </c>
      <c r="G52" s="11" t="s">
        <v>235</v>
      </c>
      <c r="H52" s="11" t="s">
        <v>236</v>
      </c>
      <c r="I52" s="11" t="s">
        <v>237</v>
      </c>
      <c r="J52" s="11" t="s">
        <v>238</v>
      </c>
      <c r="K52" s="13" t="n">
        <v>1</v>
      </c>
    </row>
    <row r="53" customFormat="false" ht="30" hidden="false" customHeight="true" outlineLevel="0" collapsed="false">
      <c r="B53" s="14"/>
      <c r="C53" s="11"/>
      <c r="D53" s="11"/>
      <c r="E53" s="11"/>
      <c r="F53" s="12" t="n">
        <v>2</v>
      </c>
      <c r="G53" s="11" t="s">
        <v>239</v>
      </c>
      <c r="H53" s="11" t="s">
        <v>240</v>
      </c>
      <c r="I53" s="11" t="s">
        <v>241</v>
      </c>
      <c r="J53" s="11" t="s">
        <v>242</v>
      </c>
      <c r="K53" s="13"/>
    </row>
    <row r="54" customFormat="false" ht="30" hidden="false" customHeight="true" outlineLevel="0" collapsed="false">
      <c r="B54" s="14"/>
      <c r="C54" s="11"/>
      <c r="D54" s="11"/>
      <c r="E54" s="11"/>
      <c r="F54" s="12" t="n">
        <v>3</v>
      </c>
      <c r="G54" s="11" t="s">
        <v>243</v>
      </c>
      <c r="H54" s="11" t="s">
        <v>244</v>
      </c>
      <c r="I54" s="11" t="s">
        <v>241</v>
      </c>
      <c r="J54" s="11" t="s">
        <v>245</v>
      </c>
      <c r="K54" s="13"/>
    </row>
    <row r="55" customFormat="false" ht="30" hidden="false" customHeight="true" outlineLevel="0" collapsed="false">
      <c r="B55" s="14" t="s">
        <v>246</v>
      </c>
      <c r="C55" s="15" t="s">
        <v>74</v>
      </c>
      <c r="D55" s="15" t="s">
        <v>247</v>
      </c>
      <c r="E55" s="15" t="s">
        <v>248</v>
      </c>
      <c r="F55" s="16" t="n">
        <v>1</v>
      </c>
      <c r="G55" s="15" t="s">
        <v>249</v>
      </c>
      <c r="H55" s="15" t="s">
        <v>250</v>
      </c>
      <c r="I55" s="15" t="s">
        <v>251</v>
      </c>
      <c r="J55" s="15" t="s">
        <v>252</v>
      </c>
      <c r="K55" s="17" t="n">
        <v>1</v>
      </c>
    </row>
    <row r="56" customFormat="false" ht="30" hidden="false" customHeight="true" outlineLevel="0" collapsed="false">
      <c r="B56" s="14"/>
      <c r="C56" s="15"/>
      <c r="D56" s="15"/>
      <c r="E56" s="15"/>
      <c r="F56" s="16" t="n">
        <v>2</v>
      </c>
      <c r="G56" s="15" t="s">
        <v>253</v>
      </c>
      <c r="H56" s="15" t="s">
        <v>95</v>
      </c>
      <c r="I56" s="15" t="s">
        <v>251</v>
      </c>
      <c r="J56" s="15" t="s">
        <v>254</v>
      </c>
      <c r="K56" s="17"/>
    </row>
    <row r="57" customFormat="false" ht="30" hidden="false" customHeight="true" outlineLevel="0" collapsed="false">
      <c r="B57" s="14"/>
      <c r="C57" s="15"/>
      <c r="D57" s="15"/>
      <c r="E57" s="15"/>
      <c r="F57" s="16" t="n">
        <v>3</v>
      </c>
      <c r="G57" s="15" t="s">
        <v>255</v>
      </c>
      <c r="H57" s="15" t="s">
        <v>256</v>
      </c>
      <c r="I57" s="15" t="s">
        <v>241</v>
      </c>
      <c r="J57" s="15" t="s">
        <v>257</v>
      </c>
      <c r="K57" s="17"/>
    </row>
    <row r="58" customFormat="false" ht="30" hidden="false" customHeight="true" outlineLevel="0" collapsed="false">
      <c r="B58" s="14" t="s">
        <v>258</v>
      </c>
      <c r="C58" s="11" t="s">
        <v>101</v>
      </c>
      <c r="D58" s="11" t="s">
        <v>259</v>
      </c>
      <c r="E58" s="11" t="s">
        <v>260</v>
      </c>
      <c r="F58" s="12" t="n">
        <v>1</v>
      </c>
      <c r="G58" s="11" t="s">
        <v>261</v>
      </c>
      <c r="H58" s="11" t="s">
        <v>262</v>
      </c>
      <c r="I58" s="11" t="s">
        <v>241</v>
      </c>
      <c r="J58" s="11" t="s">
        <v>263</v>
      </c>
      <c r="K58" s="13" t="n">
        <v>1</v>
      </c>
    </row>
    <row r="59" customFormat="false" ht="30" hidden="false" customHeight="true" outlineLevel="0" collapsed="false">
      <c r="B59" s="14"/>
      <c r="C59" s="11"/>
      <c r="D59" s="11"/>
      <c r="E59" s="11"/>
      <c r="F59" s="12" t="n">
        <v>2</v>
      </c>
      <c r="G59" s="11" t="s">
        <v>264</v>
      </c>
      <c r="H59" s="11" t="s">
        <v>265</v>
      </c>
      <c r="I59" s="11" t="s">
        <v>241</v>
      </c>
      <c r="J59" s="11" t="s">
        <v>266</v>
      </c>
      <c r="K59" s="13"/>
    </row>
    <row r="60" customFormat="false" ht="30" hidden="false" customHeight="true" outlineLevel="0" collapsed="false">
      <c r="B60" s="14"/>
      <c r="C60" s="11"/>
      <c r="D60" s="11"/>
      <c r="E60" s="11"/>
      <c r="F60" s="12" t="n">
        <v>3</v>
      </c>
      <c r="G60" s="11" t="s">
        <v>267</v>
      </c>
      <c r="H60" s="11" t="s">
        <v>268</v>
      </c>
      <c r="I60" s="11" t="s">
        <v>241</v>
      </c>
      <c r="J60" s="11" t="s">
        <v>269</v>
      </c>
      <c r="K60" s="13"/>
    </row>
    <row r="61" customFormat="false" ht="30" hidden="false" customHeight="true" outlineLevel="0" collapsed="false">
      <c r="B61" s="14" t="s">
        <v>270</v>
      </c>
      <c r="C61" s="15" t="s">
        <v>101</v>
      </c>
      <c r="D61" s="15" t="s">
        <v>271</v>
      </c>
      <c r="E61" s="15" t="s">
        <v>272</v>
      </c>
      <c r="F61" s="16" t="n">
        <v>1</v>
      </c>
      <c r="G61" s="15" t="s">
        <v>273</v>
      </c>
      <c r="H61" s="15" t="s">
        <v>274</v>
      </c>
      <c r="I61" s="15" t="s">
        <v>275</v>
      </c>
      <c r="J61" s="15" t="s">
        <v>276</v>
      </c>
      <c r="K61" s="17" t="n">
        <v>1</v>
      </c>
    </row>
    <row r="62" customFormat="false" ht="42.75" hidden="false" customHeight="true" outlineLevel="0" collapsed="false">
      <c r="B62" s="14"/>
      <c r="C62" s="15"/>
      <c r="D62" s="15"/>
      <c r="E62" s="15"/>
      <c r="F62" s="16" t="n">
        <v>2</v>
      </c>
      <c r="G62" s="15" t="s">
        <v>277</v>
      </c>
      <c r="H62" s="15" t="s">
        <v>278</v>
      </c>
      <c r="I62" s="15" t="s">
        <v>279</v>
      </c>
      <c r="J62" s="15" t="s">
        <v>280</v>
      </c>
      <c r="K62" s="17"/>
    </row>
    <row r="63" customFormat="false" ht="30" hidden="false" customHeight="true" outlineLevel="0" collapsed="false">
      <c r="B63" s="14"/>
      <c r="C63" s="15"/>
      <c r="D63" s="15"/>
      <c r="E63" s="15"/>
      <c r="F63" s="16" t="n">
        <v>3</v>
      </c>
      <c r="G63" s="15" t="s">
        <v>281</v>
      </c>
      <c r="H63" s="15" t="s">
        <v>282</v>
      </c>
      <c r="I63" s="15" t="s">
        <v>283</v>
      </c>
      <c r="J63" s="15" t="s">
        <v>284</v>
      </c>
      <c r="K63" s="17"/>
    </row>
    <row r="64" customFormat="false" ht="16.5" hidden="false" customHeight="true" outlineLevel="0" collapsed="false">
      <c r="B64" s="14" t="s">
        <v>285</v>
      </c>
      <c r="C64" s="11" t="s">
        <v>101</v>
      </c>
      <c r="D64" s="11" t="s">
        <v>286</v>
      </c>
      <c r="E64" s="11" t="s">
        <v>287</v>
      </c>
      <c r="F64" s="12" t="n">
        <v>1</v>
      </c>
      <c r="G64" s="11" t="s">
        <v>288</v>
      </c>
      <c r="H64" s="11" t="s">
        <v>289</v>
      </c>
      <c r="I64" s="11" t="s">
        <v>290</v>
      </c>
      <c r="J64" s="11" t="s">
        <v>291</v>
      </c>
      <c r="K64" s="13" t="n">
        <v>1</v>
      </c>
    </row>
    <row r="65" customFormat="false" ht="30" hidden="false" customHeight="true" outlineLevel="0" collapsed="false">
      <c r="B65" s="14"/>
      <c r="C65" s="11"/>
      <c r="D65" s="11"/>
      <c r="E65" s="11"/>
      <c r="F65" s="12" t="n">
        <v>2</v>
      </c>
      <c r="G65" s="11" t="s">
        <v>292</v>
      </c>
      <c r="H65" s="11" t="s">
        <v>293</v>
      </c>
      <c r="I65" s="11" t="s">
        <v>294</v>
      </c>
      <c r="J65" s="11" t="s">
        <v>295</v>
      </c>
      <c r="K65" s="13"/>
    </row>
    <row r="66" customFormat="false" ht="30" hidden="false" customHeight="true" outlineLevel="0" collapsed="false">
      <c r="B66" s="14"/>
      <c r="C66" s="11"/>
      <c r="D66" s="11"/>
      <c r="E66" s="11"/>
      <c r="F66" s="12" t="n">
        <v>3</v>
      </c>
      <c r="G66" s="11" t="s">
        <v>296</v>
      </c>
      <c r="H66" s="11" t="s">
        <v>297</v>
      </c>
      <c r="I66" s="11" t="s">
        <v>298</v>
      </c>
      <c r="J66" s="11" t="s">
        <v>299</v>
      </c>
      <c r="K66" s="13"/>
    </row>
    <row r="67" customFormat="false" ht="30" hidden="false" customHeight="true" outlineLevel="0" collapsed="false">
      <c r="B67" s="14" t="s">
        <v>300</v>
      </c>
      <c r="C67" s="15" t="s">
        <v>101</v>
      </c>
      <c r="D67" s="15" t="s">
        <v>301</v>
      </c>
      <c r="E67" s="15" t="s">
        <v>302</v>
      </c>
      <c r="F67" s="16" t="n">
        <v>1</v>
      </c>
      <c r="G67" s="15" t="s">
        <v>303</v>
      </c>
      <c r="H67" s="15" t="s">
        <v>304</v>
      </c>
      <c r="I67" s="15" t="s">
        <v>305</v>
      </c>
      <c r="J67" s="15" t="s">
        <v>306</v>
      </c>
      <c r="K67" s="17" t="n">
        <v>1</v>
      </c>
    </row>
    <row r="68" customFormat="false" ht="30" hidden="false" customHeight="true" outlineLevel="0" collapsed="false">
      <c r="B68" s="14"/>
      <c r="C68" s="15"/>
      <c r="D68" s="15"/>
      <c r="E68" s="15"/>
      <c r="F68" s="16" t="n">
        <v>2</v>
      </c>
      <c r="G68" s="15" t="s">
        <v>307</v>
      </c>
      <c r="H68" s="15" t="s">
        <v>308</v>
      </c>
      <c r="I68" s="15" t="s">
        <v>309</v>
      </c>
      <c r="J68" s="15" t="s">
        <v>310</v>
      </c>
      <c r="K68" s="17"/>
    </row>
    <row r="69" customFormat="false" ht="30" hidden="false" customHeight="true" outlineLevel="0" collapsed="false">
      <c r="B69" s="14"/>
      <c r="C69" s="15"/>
      <c r="D69" s="15"/>
      <c r="E69" s="15"/>
      <c r="F69" s="16" t="n">
        <v>3</v>
      </c>
      <c r="G69" s="15" t="s">
        <v>311</v>
      </c>
      <c r="H69" s="15" t="s">
        <v>312</v>
      </c>
      <c r="I69" s="15" t="s">
        <v>313</v>
      </c>
      <c r="J69" s="15" t="s">
        <v>314</v>
      </c>
      <c r="K69" s="17"/>
    </row>
    <row r="70" customFormat="false" ht="30" hidden="false" customHeight="true" outlineLevel="0" collapsed="false">
      <c r="B70" s="14" t="s">
        <v>315</v>
      </c>
      <c r="C70" s="11" t="s">
        <v>161</v>
      </c>
      <c r="D70" s="11" t="s">
        <v>316</v>
      </c>
      <c r="E70" s="11" t="s">
        <v>317</v>
      </c>
      <c r="F70" s="12" t="n">
        <v>1</v>
      </c>
      <c r="G70" s="11" t="s">
        <v>318</v>
      </c>
      <c r="H70" s="11" t="s">
        <v>319</v>
      </c>
      <c r="I70" s="11" t="s">
        <v>320</v>
      </c>
      <c r="J70" s="11" t="s">
        <v>321</v>
      </c>
      <c r="K70" s="13" t="n">
        <v>1</v>
      </c>
    </row>
    <row r="71" customFormat="false" ht="16.5" hidden="false" customHeight="true" outlineLevel="0" collapsed="false">
      <c r="B71" s="14"/>
      <c r="C71" s="11"/>
      <c r="D71" s="11"/>
      <c r="E71" s="11"/>
      <c r="F71" s="12" t="n">
        <v>2</v>
      </c>
      <c r="G71" s="11" t="s">
        <v>322</v>
      </c>
      <c r="H71" s="11" t="s">
        <v>323</v>
      </c>
      <c r="I71" s="11" t="s">
        <v>324</v>
      </c>
      <c r="J71" s="11" t="s">
        <v>325</v>
      </c>
      <c r="K71" s="13"/>
    </row>
    <row r="72" customFormat="false" ht="30" hidden="false" customHeight="true" outlineLevel="0" collapsed="false">
      <c r="B72" s="14"/>
      <c r="C72" s="11"/>
      <c r="D72" s="11"/>
      <c r="E72" s="11"/>
      <c r="F72" s="12" t="n">
        <v>3</v>
      </c>
      <c r="G72" s="11" t="s">
        <v>326</v>
      </c>
      <c r="H72" s="11" t="s">
        <v>323</v>
      </c>
      <c r="I72" s="11" t="s">
        <v>324</v>
      </c>
      <c r="J72" s="11" t="s">
        <v>327</v>
      </c>
      <c r="K72" s="13"/>
    </row>
    <row r="73" customFormat="false" ht="30" hidden="false" customHeight="true" outlineLevel="0" collapsed="false">
      <c r="B73" s="14" t="s">
        <v>328</v>
      </c>
      <c r="C73" s="15" t="s">
        <v>161</v>
      </c>
      <c r="D73" s="15" t="s">
        <v>329</v>
      </c>
      <c r="E73" s="15" t="s">
        <v>330</v>
      </c>
      <c r="F73" s="16" t="n">
        <v>1</v>
      </c>
      <c r="G73" s="15" t="s">
        <v>111</v>
      </c>
      <c r="H73" s="15" t="s">
        <v>331</v>
      </c>
      <c r="I73" s="15" t="s">
        <v>332</v>
      </c>
      <c r="J73" s="15" t="s">
        <v>211</v>
      </c>
      <c r="K73" s="17" t="n">
        <v>1</v>
      </c>
    </row>
    <row r="74" customFormat="false" ht="30" hidden="false" customHeight="true" outlineLevel="0" collapsed="false">
      <c r="B74" s="14"/>
      <c r="C74" s="15"/>
      <c r="D74" s="15"/>
      <c r="E74" s="15"/>
      <c r="F74" s="16" t="n">
        <v>2</v>
      </c>
      <c r="G74" s="15" t="s">
        <v>333</v>
      </c>
      <c r="H74" s="15" t="s">
        <v>334</v>
      </c>
      <c r="I74" s="15" t="s">
        <v>335</v>
      </c>
      <c r="J74" s="15" t="s">
        <v>336</v>
      </c>
      <c r="K74" s="17"/>
    </row>
    <row r="75" customFormat="false" ht="30" hidden="false" customHeight="true" outlineLevel="0" collapsed="false">
      <c r="B75" s="14"/>
      <c r="C75" s="15"/>
      <c r="D75" s="15"/>
      <c r="E75" s="15"/>
      <c r="F75" s="16" t="n">
        <v>3</v>
      </c>
      <c r="G75" s="15" t="s">
        <v>337</v>
      </c>
      <c r="H75" s="15" t="s">
        <v>338</v>
      </c>
      <c r="I75" s="15" t="s">
        <v>339</v>
      </c>
      <c r="J75" s="15" t="s">
        <v>340</v>
      </c>
      <c r="K75" s="17"/>
    </row>
    <row r="76" customFormat="false" ht="30" hidden="false" customHeight="true" outlineLevel="0" collapsed="false">
      <c r="B76" s="14" t="s">
        <v>341</v>
      </c>
      <c r="C76" s="11" t="s">
        <v>101</v>
      </c>
      <c r="D76" s="11" t="s">
        <v>342</v>
      </c>
      <c r="E76" s="11" t="s">
        <v>343</v>
      </c>
      <c r="F76" s="12" t="n">
        <v>1</v>
      </c>
      <c r="G76" s="11" t="s">
        <v>344</v>
      </c>
      <c r="H76" s="11" t="s">
        <v>345</v>
      </c>
      <c r="I76" s="11" t="s">
        <v>346</v>
      </c>
      <c r="J76" s="11" t="s">
        <v>347</v>
      </c>
      <c r="K76" s="13" t="n">
        <v>1</v>
      </c>
    </row>
    <row r="77" customFormat="false" ht="16.5" hidden="false" customHeight="true" outlineLevel="0" collapsed="false">
      <c r="B77" s="14"/>
      <c r="C77" s="11"/>
      <c r="D77" s="11"/>
      <c r="E77" s="11"/>
      <c r="F77" s="12" t="n">
        <v>2</v>
      </c>
      <c r="G77" s="11" t="s">
        <v>348</v>
      </c>
      <c r="H77" s="11" t="s">
        <v>349</v>
      </c>
      <c r="I77" s="11" t="s">
        <v>350</v>
      </c>
      <c r="J77" s="11" t="s">
        <v>351</v>
      </c>
      <c r="K77" s="13"/>
    </row>
    <row r="78" customFormat="false" ht="30" hidden="false" customHeight="true" outlineLevel="0" collapsed="false">
      <c r="B78" s="14"/>
      <c r="C78" s="11"/>
      <c r="D78" s="11"/>
      <c r="E78" s="11"/>
      <c r="F78" s="12" t="n">
        <v>3</v>
      </c>
      <c r="G78" s="11" t="s">
        <v>352</v>
      </c>
      <c r="H78" s="11" t="s">
        <v>353</v>
      </c>
      <c r="I78" s="11" t="s">
        <v>354</v>
      </c>
      <c r="J78" s="11" t="s">
        <v>355</v>
      </c>
      <c r="K78" s="13"/>
    </row>
    <row r="80" customFormat="false" ht="21.75" hidden="false" customHeight="true" outlineLevel="0" collapsed="false">
      <c r="B80" s="6" t="s">
        <v>356</v>
      </c>
      <c r="C80" s="6"/>
      <c r="D80" s="6"/>
      <c r="E80" s="6"/>
      <c r="F80" s="6"/>
      <c r="G80" s="6"/>
      <c r="H80" s="6"/>
      <c r="I80" s="6"/>
      <c r="J80" s="6"/>
      <c r="K80" s="6"/>
    </row>
    <row r="81" customFormat="false" ht="30" hidden="false" customHeight="true" outlineLevel="0" collapsed="false">
      <c r="B81" s="7" t="s">
        <v>357</v>
      </c>
      <c r="C81" s="8" t="s">
        <v>32</v>
      </c>
      <c r="D81" s="8" t="s">
        <v>358</v>
      </c>
      <c r="E81" s="8" t="s">
        <v>359</v>
      </c>
      <c r="F81" s="9" t="n">
        <v>1</v>
      </c>
      <c r="G81" s="8" t="s">
        <v>360</v>
      </c>
      <c r="H81" s="8" t="s">
        <v>361</v>
      </c>
      <c r="I81" s="8" t="s">
        <v>362</v>
      </c>
      <c r="J81" s="8" t="s">
        <v>363</v>
      </c>
      <c r="K81" s="10" t="n">
        <v>2</v>
      </c>
    </row>
    <row r="82" customFormat="false" ht="30" hidden="false" customHeight="true" outlineLevel="0" collapsed="false">
      <c r="B82" s="7"/>
      <c r="C82" s="8"/>
      <c r="D82" s="8"/>
      <c r="E82" s="8"/>
      <c r="F82" s="9" t="n">
        <v>2</v>
      </c>
      <c r="G82" s="8" t="s">
        <v>364</v>
      </c>
      <c r="H82" s="8" t="s">
        <v>365</v>
      </c>
      <c r="I82" s="8" t="s">
        <v>362</v>
      </c>
      <c r="J82" s="8" t="s">
        <v>366</v>
      </c>
      <c r="K82" s="10"/>
    </row>
    <row r="83" customFormat="false" ht="30" hidden="false" customHeight="true" outlineLevel="0" collapsed="false">
      <c r="B83" s="7"/>
      <c r="C83" s="8"/>
      <c r="D83" s="8"/>
      <c r="E83" s="8"/>
      <c r="F83" s="9" t="n">
        <v>3</v>
      </c>
      <c r="G83" s="8" t="s">
        <v>367</v>
      </c>
      <c r="H83" s="8" t="s">
        <v>368</v>
      </c>
      <c r="I83" s="8" t="s">
        <v>362</v>
      </c>
      <c r="J83" s="8" t="s">
        <v>369</v>
      </c>
      <c r="K83" s="10"/>
    </row>
    <row r="84" customFormat="false" ht="30" hidden="false" customHeight="true" outlineLevel="0" collapsed="false">
      <c r="B84" s="7" t="s">
        <v>370</v>
      </c>
      <c r="C84" s="11" t="s">
        <v>32</v>
      </c>
      <c r="D84" s="11" t="s">
        <v>371</v>
      </c>
      <c r="E84" s="11" t="s">
        <v>372</v>
      </c>
      <c r="F84" s="12" t="n">
        <v>1</v>
      </c>
      <c r="G84" s="11" t="s">
        <v>373</v>
      </c>
      <c r="H84" s="11" t="s">
        <v>374</v>
      </c>
      <c r="I84" s="11" t="s">
        <v>375</v>
      </c>
      <c r="J84" s="11" t="s">
        <v>376</v>
      </c>
      <c r="K84" s="13" t="n">
        <v>2</v>
      </c>
    </row>
    <row r="85" customFormat="false" ht="30" hidden="false" customHeight="true" outlineLevel="0" collapsed="false">
      <c r="B85" s="7"/>
      <c r="C85" s="11"/>
      <c r="D85" s="11"/>
      <c r="E85" s="11"/>
      <c r="F85" s="12" t="n">
        <v>2</v>
      </c>
      <c r="G85" s="11" t="s">
        <v>377</v>
      </c>
      <c r="H85" s="11" t="s">
        <v>378</v>
      </c>
      <c r="I85" s="11" t="s">
        <v>379</v>
      </c>
      <c r="J85" s="11" t="s">
        <v>380</v>
      </c>
      <c r="K85" s="13"/>
    </row>
    <row r="86" customFormat="false" ht="30" hidden="false" customHeight="true" outlineLevel="0" collapsed="false">
      <c r="B86" s="7"/>
      <c r="C86" s="11"/>
      <c r="D86" s="11"/>
      <c r="E86" s="11"/>
      <c r="F86" s="12" t="n">
        <v>3</v>
      </c>
      <c r="G86" s="11" t="s">
        <v>381</v>
      </c>
      <c r="H86" s="11" t="s">
        <v>382</v>
      </c>
      <c r="I86" s="11" t="s">
        <v>383</v>
      </c>
      <c r="J86" s="11" t="s">
        <v>384</v>
      </c>
      <c r="K86" s="13"/>
    </row>
    <row r="87" customFormat="false" ht="30" hidden="false" customHeight="true" outlineLevel="0" collapsed="false">
      <c r="B87" s="7" t="s">
        <v>385</v>
      </c>
      <c r="C87" s="8" t="s">
        <v>74</v>
      </c>
      <c r="D87" s="8" t="s">
        <v>386</v>
      </c>
      <c r="E87" s="8" t="s">
        <v>387</v>
      </c>
      <c r="F87" s="9" t="n">
        <v>1</v>
      </c>
      <c r="G87" s="8" t="s">
        <v>388</v>
      </c>
      <c r="H87" s="8" t="s">
        <v>389</v>
      </c>
      <c r="I87" s="8" t="s">
        <v>390</v>
      </c>
      <c r="J87" s="8" t="s">
        <v>391</v>
      </c>
      <c r="K87" s="10" t="n">
        <v>2</v>
      </c>
    </row>
    <row r="88" customFormat="false" ht="16.5" hidden="false" customHeight="true" outlineLevel="0" collapsed="false">
      <c r="B88" s="7"/>
      <c r="C88" s="8"/>
      <c r="D88" s="8"/>
      <c r="E88" s="8"/>
      <c r="F88" s="9" t="n">
        <v>2</v>
      </c>
      <c r="G88" s="8" t="s">
        <v>392</v>
      </c>
      <c r="H88" s="8" t="s">
        <v>393</v>
      </c>
      <c r="I88" s="8" t="s">
        <v>394</v>
      </c>
      <c r="J88" s="8" t="s">
        <v>395</v>
      </c>
      <c r="K88" s="10"/>
    </row>
    <row r="89" customFormat="false" ht="16.5" hidden="false" customHeight="true" outlineLevel="0" collapsed="false">
      <c r="B89" s="7"/>
      <c r="C89" s="8"/>
      <c r="D89" s="8"/>
      <c r="E89" s="8"/>
      <c r="F89" s="9" t="n">
        <v>3</v>
      </c>
      <c r="G89" s="8" t="s">
        <v>396</v>
      </c>
      <c r="H89" s="8" t="s">
        <v>397</v>
      </c>
      <c r="I89" s="8" t="s">
        <v>398</v>
      </c>
      <c r="J89" s="8" t="s">
        <v>399</v>
      </c>
      <c r="K89" s="10"/>
    </row>
    <row r="90" customFormat="false" ht="30" hidden="false" customHeight="true" outlineLevel="0" collapsed="false">
      <c r="B90" s="7" t="s">
        <v>400</v>
      </c>
      <c r="C90" s="11" t="s">
        <v>161</v>
      </c>
      <c r="D90" s="11" t="s">
        <v>401</v>
      </c>
      <c r="E90" s="11" t="s">
        <v>402</v>
      </c>
      <c r="F90" s="12" t="n">
        <v>1</v>
      </c>
      <c r="G90" s="11" t="s">
        <v>403</v>
      </c>
      <c r="H90" s="11" t="s">
        <v>404</v>
      </c>
      <c r="I90" s="11" t="s">
        <v>405</v>
      </c>
      <c r="J90" s="11" t="s">
        <v>406</v>
      </c>
      <c r="K90" s="13" t="n">
        <v>2</v>
      </c>
    </row>
    <row r="91" customFormat="false" ht="30" hidden="false" customHeight="true" outlineLevel="0" collapsed="false">
      <c r="B91" s="7"/>
      <c r="C91" s="11"/>
      <c r="D91" s="11"/>
      <c r="E91" s="11"/>
      <c r="F91" s="12" t="n">
        <v>2</v>
      </c>
      <c r="G91" s="11" t="s">
        <v>407</v>
      </c>
      <c r="H91" s="11" t="s">
        <v>408</v>
      </c>
      <c r="I91" s="11" t="s">
        <v>409</v>
      </c>
      <c r="J91" s="11" t="s">
        <v>410</v>
      </c>
      <c r="K91" s="13"/>
    </row>
    <row r="92" customFormat="false" ht="30" hidden="false" customHeight="true" outlineLevel="0" collapsed="false">
      <c r="B92" s="7"/>
      <c r="C92" s="11"/>
      <c r="D92" s="11"/>
      <c r="E92" s="11"/>
      <c r="F92" s="12" t="n">
        <v>3</v>
      </c>
      <c r="G92" s="11" t="s">
        <v>411</v>
      </c>
      <c r="H92" s="11" t="s">
        <v>412</v>
      </c>
      <c r="I92" s="11" t="s">
        <v>413</v>
      </c>
      <c r="J92" s="11" t="s">
        <v>414</v>
      </c>
      <c r="K92" s="13"/>
    </row>
    <row r="93" customFormat="false" ht="30" hidden="false" customHeight="true" outlineLevel="0" collapsed="false">
      <c r="B93" s="14" t="s">
        <v>415</v>
      </c>
      <c r="C93" s="15" t="s">
        <v>32</v>
      </c>
      <c r="D93" s="15" t="s">
        <v>416</v>
      </c>
      <c r="E93" s="15" t="s">
        <v>417</v>
      </c>
      <c r="F93" s="16" t="n">
        <v>1</v>
      </c>
      <c r="G93" s="15" t="s">
        <v>418</v>
      </c>
      <c r="H93" s="15" t="s">
        <v>419</v>
      </c>
      <c r="I93" s="15" t="s">
        <v>420</v>
      </c>
      <c r="J93" s="15" t="s">
        <v>421</v>
      </c>
      <c r="K93" s="17" t="n">
        <v>2</v>
      </c>
    </row>
    <row r="94" customFormat="false" ht="30" hidden="false" customHeight="true" outlineLevel="0" collapsed="false">
      <c r="B94" s="14"/>
      <c r="C94" s="15"/>
      <c r="D94" s="15"/>
      <c r="E94" s="15"/>
      <c r="F94" s="16" t="n">
        <v>2</v>
      </c>
      <c r="G94" s="15" t="s">
        <v>422</v>
      </c>
      <c r="H94" s="15" t="s">
        <v>423</v>
      </c>
      <c r="I94" s="15" t="s">
        <v>424</v>
      </c>
      <c r="J94" s="15" t="s">
        <v>425</v>
      </c>
      <c r="K94" s="17"/>
    </row>
    <row r="95" customFormat="false" ht="16.5" hidden="false" customHeight="true" outlineLevel="0" collapsed="false">
      <c r="B95" s="14"/>
      <c r="C95" s="15"/>
      <c r="D95" s="15"/>
      <c r="E95" s="15"/>
      <c r="F95" s="16" t="n">
        <v>3</v>
      </c>
      <c r="G95" s="15" t="s">
        <v>426</v>
      </c>
      <c r="H95" s="15" t="s">
        <v>427</v>
      </c>
      <c r="I95" s="15" t="s">
        <v>420</v>
      </c>
      <c r="J95" s="15" t="s">
        <v>428</v>
      </c>
      <c r="K95" s="17"/>
    </row>
    <row r="96" customFormat="false" ht="30" hidden="false" customHeight="true" outlineLevel="0" collapsed="false">
      <c r="B96" s="14" t="s">
        <v>429</v>
      </c>
      <c r="C96" s="11" t="s">
        <v>32</v>
      </c>
      <c r="D96" s="11" t="s">
        <v>430</v>
      </c>
      <c r="E96" s="11" t="s">
        <v>431</v>
      </c>
      <c r="F96" s="12" t="n">
        <v>1</v>
      </c>
      <c r="G96" s="11" t="s">
        <v>432</v>
      </c>
      <c r="H96" s="11" t="s">
        <v>433</v>
      </c>
      <c r="I96" s="11" t="s">
        <v>434</v>
      </c>
      <c r="J96" s="11" t="s">
        <v>435</v>
      </c>
      <c r="K96" s="13" t="n">
        <v>2</v>
      </c>
    </row>
    <row r="97" customFormat="false" ht="30" hidden="false" customHeight="true" outlineLevel="0" collapsed="false">
      <c r="B97" s="14"/>
      <c r="C97" s="11"/>
      <c r="D97" s="11"/>
      <c r="E97" s="11"/>
      <c r="F97" s="12" t="n">
        <v>2</v>
      </c>
      <c r="G97" s="11" t="s">
        <v>436</v>
      </c>
      <c r="H97" s="11" t="s">
        <v>433</v>
      </c>
      <c r="I97" s="11" t="s">
        <v>437</v>
      </c>
      <c r="J97" s="11" t="s">
        <v>438</v>
      </c>
      <c r="K97" s="13"/>
    </row>
    <row r="98" customFormat="false" ht="30" hidden="false" customHeight="true" outlineLevel="0" collapsed="false">
      <c r="B98" s="14"/>
      <c r="C98" s="11"/>
      <c r="D98" s="11"/>
      <c r="E98" s="11"/>
      <c r="F98" s="12" t="n">
        <v>3</v>
      </c>
      <c r="G98" s="11" t="s">
        <v>439</v>
      </c>
      <c r="H98" s="11" t="s">
        <v>440</v>
      </c>
      <c r="I98" s="11" t="s">
        <v>441</v>
      </c>
      <c r="J98" s="11" t="s">
        <v>442</v>
      </c>
      <c r="K98" s="13"/>
    </row>
    <row r="99" customFormat="false" ht="30" hidden="false" customHeight="true" outlineLevel="0" collapsed="false">
      <c r="B99" s="14" t="s">
        <v>443</v>
      </c>
      <c r="C99" s="15" t="s">
        <v>74</v>
      </c>
      <c r="D99" s="15" t="s">
        <v>444</v>
      </c>
      <c r="E99" s="15" t="s">
        <v>445</v>
      </c>
      <c r="F99" s="16" t="n">
        <v>1</v>
      </c>
      <c r="G99" s="15" t="s">
        <v>446</v>
      </c>
      <c r="H99" s="15" t="s">
        <v>447</v>
      </c>
      <c r="I99" s="15" t="s">
        <v>448</v>
      </c>
      <c r="J99" s="15" t="s">
        <v>449</v>
      </c>
      <c r="K99" s="17" t="n">
        <v>2</v>
      </c>
    </row>
    <row r="100" customFormat="false" ht="30" hidden="false" customHeight="true" outlineLevel="0" collapsed="false">
      <c r="B100" s="14"/>
      <c r="C100" s="15"/>
      <c r="D100" s="15"/>
      <c r="E100" s="15"/>
      <c r="F100" s="16" t="n">
        <v>2</v>
      </c>
      <c r="G100" s="15" t="s">
        <v>450</v>
      </c>
      <c r="H100" s="15" t="s">
        <v>451</v>
      </c>
      <c r="I100" s="15" t="s">
        <v>448</v>
      </c>
      <c r="J100" s="15" t="s">
        <v>452</v>
      </c>
      <c r="K100" s="17"/>
    </row>
    <row r="101" customFormat="false" ht="30" hidden="false" customHeight="true" outlineLevel="0" collapsed="false">
      <c r="B101" s="14"/>
      <c r="C101" s="15"/>
      <c r="D101" s="15"/>
      <c r="E101" s="15"/>
      <c r="F101" s="16" t="n">
        <v>3</v>
      </c>
      <c r="G101" s="15" t="s">
        <v>101</v>
      </c>
      <c r="H101" s="15" t="s">
        <v>453</v>
      </c>
      <c r="I101" s="15" t="s">
        <v>448</v>
      </c>
      <c r="J101" s="15" t="s">
        <v>454</v>
      </c>
      <c r="K101" s="17"/>
    </row>
    <row r="102" customFormat="false" ht="30" hidden="false" customHeight="true" outlineLevel="0" collapsed="false">
      <c r="B102" s="14" t="s">
        <v>455</v>
      </c>
      <c r="C102" s="11" t="s">
        <v>101</v>
      </c>
      <c r="D102" s="11" t="s">
        <v>456</v>
      </c>
      <c r="E102" s="11" t="s">
        <v>457</v>
      </c>
      <c r="F102" s="12" t="n">
        <v>1</v>
      </c>
      <c r="G102" s="11" t="s">
        <v>458</v>
      </c>
      <c r="H102" s="11" t="s">
        <v>459</v>
      </c>
      <c r="I102" s="11" t="s">
        <v>350</v>
      </c>
      <c r="J102" s="11" t="s">
        <v>460</v>
      </c>
      <c r="K102" s="13" t="n">
        <v>2</v>
      </c>
    </row>
    <row r="103" customFormat="false" ht="30" hidden="false" customHeight="true" outlineLevel="0" collapsed="false">
      <c r="B103" s="14"/>
      <c r="C103" s="11"/>
      <c r="D103" s="11"/>
      <c r="E103" s="11"/>
      <c r="F103" s="12" t="n">
        <v>2</v>
      </c>
      <c r="G103" s="11" t="s">
        <v>461</v>
      </c>
      <c r="H103" s="11" t="s">
        <v>462</v>
      </c>
      <c r="I103" s="11" t="s">
        <v>350</v>
      </c>
      <c r="J103" s="11" t="s">
        <v>463</v>
      </c>
      <c r="K103" s="13"/>
    </row>
    <row r="104" customFormat="false" ht="30" hidden="false" customHeight="true" outlineLevel="0" collapsed="false">
      <c r="B104" s="14"/>
      <c r="C104" s="11"/>
      <c r="D104" s="11"/>
      <c r="E104" s="11"/>
      <c r="F104" s="12" t="n">
        <v>3</v>
      </c>
      <c r="G104" s="11" t="s">
        <v>464</v>
      </c>
      <c r="H104" s="11" t="s">
        <v>465</v>
      </c>
      <c r="I104" s="11" t="s">
        <v>448</v>
      </c>
      <c r="J104" s="11" t="s">
        <v>466</v>
      </c>
      <c r="K104" s="13"/>
    </row>
    <row r="106" customFormat="false" ht="21.75" hidden="false" customHeight="true" outlineLevel="0" collapsed="false">
      <c r="B106" s="6" t="s">
        <v>467</v>
      </c>
      <c r="C106" s="6"/>
      <c r="D106" s="6"/>
      <c r="E106" s="6"/>
      <c r="F106" s="6"/>
      <c r="G106" s="6"/>
      <c r="H106" s="6"/>
      <c r="I106" s="6"/>
      <c r="J106" s="6"/>
      <c r="K106" s="6"/>
    </row>
    <row r="107" customFormat="false" ht="30" hidden="false" customHeight="true" outlineLevel="0" collapsed="false">
      <c r="B107" s="7" t="s">
        <v>468</v>
      </c>
      <c r="C107" s="8" t="s">
        <v>74</v>
      </c>
      <c r="D107" s="8" t="s">
        <v>469</v>
      </c>
      <c r="E107" s="8" t="s">
        <v>470</v>
      </c>
      <c r="F107" s="9" t="n">
        <v>1</v>
      </c>
      <c r="G107" s="8" t="s">
        <v>471</v>
      </c>
      <c r="H107" s="8" t="s">
        <v>472</v>
      </c>
      <c r="I107" s="8" t="s">
        <v>473</v>
      </c>
      <c r="J107" s="8" t="s">
        <v>474</v>
      </c>
      <c r="K107" s="10" t="n">
        <v>3</v>
      </c>
    </row>
    <row r="108" customFormat="false" ht="30" hidden="false" customHeight="true" outlineLevel="0" collapsed="false">
      <c r="B108" s="7"/>
      <c r="C108" s="8"/>
      <c r="D108" s="8"/>
      <c r="E108" s="8"/>
      <c r="F108" s="9" t="n">
        <v>2</v>
      </c>
      <c r="G108" s="8" t="s">
        <v>475</v>
      </c>
      <c r="H108" s="8" t="s">
        <v>476</v>
      </c>
      <c r="I108" s="8" t="s">
        <v>473</v>
      </c>
      <c r="J108" s="8" t="s">
        <v>477</v>
      </c>
      <c r="K108" s="10"/>
    </row>
    <row r="109" customFormat="false" ht="16.5" hidden="false" customHeight="true" outlineLevel="0" collapsed="false">
      <c r="B109" s="7"/>
      <c r="C109" s="8"/>
      <c r="D109" s="8"/>
      <c r="E109" s="8"/>
      <c r="F109" s="9" t="n">
        <v>3</v>
      </c>
      <c r="G109" s="8" t="s">
        <v>478</v>
      </c>
      <c r="H109" s="8" t="s">
        <v>479</v>
      </c>
      <c r="I109" s="8" t="s">
        <v>473</v>
      </c>
      <c r="J109" s="8" t="s">
        <v>480</v>
      </c>
      <c r="K109" s="10"/>
    </row>
    <row r="110" customFormat="false" ht="30" hidden="false" customHeight="true" outlineLevel="0" collapsed="false">
      <c r="B110" s="7" t="s">
        <v>481</v>
      </c>
      <c r="C110" s="11" t="s">
        <v>74</v>
      </c>
      <c r="D110" s="11" t="s">
        <v>482</v>
      </c>
      <c r="E110" s="11" t="s">
        <v>483</v>
      </c>
      <c r="F110" s="12" t="n">
        <v>1</v>
      </c>
      <c r="G110" s="11" t="s">
        <v>484</v>
      </c>
      <c r="H110" s="11" t="s">
        <v>485</v>
      </c>
      <c r="I110" s="11" t="s">
        <v>486</v>
      </c>
      <c r="J110" s="11" t="s">
        <v>487</v>
      </c>
      <c r="K110" s="13" t="n">
        <v>3</v>
      </c>
    </row>
    <row r="111" customFormat="false" ht="30" hidden="false" customHeight="true" outlineLevel="0" collapsed="false">
      <c r="B111" s="7"/>
      <c r="C111" s="11"/>
      <c r="D111" s="11"/>
      <c r="E111" s="11"/>
      <c r="F111" s="12" t="n">
        <v>2</v>
      </c>
      <c r="G111" s="11" t="s">
        <v>488</v>
      </c>
      <c r="H111" s="11" t="s">
        <v>489</v>
      </c>
      <c r="I111" s="11" t="s">
        <v>490</v>
      </c>
      <c r="J111" s="11" t="s">
        <v>491</v>
      </c>
      <c r="K111" s="13"/>
    </row>
    <row r="112" customFormat="false" ht="16.5" hidden="false" customHeight="true" outlineLevel="0" collapsed="false">
      <c r="B112" s="7"/>
      <c r="C112" s="11"/>
      <c r="D112" s="11"/>
      <c r="E112" s="11"/>
      <c r="F112" s="12" t="n">
        <v>3</v>
      </c>
      <c r="G112" s="11" t="s">
        <v>492</v>
      </c>
      <c r="H112" s="11" t="s">
        <v>493</v>
      </c>
      <c r="I112" s="11" t="s">
        <v>494</v>
      </c>
      <c r="J112" s="11" t="s">
        <v>495</v>
      </c>
      <c r="K112" s="13"/>
    </row>
    <row r="113" customFormat="false" ht="30" hidden="false" customHeight="true" outlineLevel="0" collapsed="false">
      <c r="B113" s="7" t="s">
        <v>496</v>
      </c>
      <c r="C113" s="8" t="s">
        <v>32</v>
      </c>
      <c r="D113" s="8" t="s">
        <v>497</v>
      </c>
      <c r="E113" s="8" t="s">
        <v>498</v>
      </c>
      <c r="F113" s="9" t="n">
        <v>1</v>
      </c>
      <c r="G113" s="8" t="s">
        <v>499</v>
      </c>
      <c r="H113" s="8" t="s">
        <v>500</v>
      </c>
      <c r="I113" s="8" t="s">
        <v>501</v>
      </c>
      <c r="J113" s="8" t="s">
        <v>502</v>
      </c>
      <c r="K113" s="10" t="n">
        <v>3</v>
      </c>
    </row>
    <row r="114" customFormat="false" ht="30" hidden="false" customHeight="true" outlineLevel="0" collapsed="false">
      <c r="B114" s="7"/>
      <c r="C114" s="8"/>
      <c r="D114" s="8"/>
      <c r="E114" s="8"/>
      <c r="F114" s="9" t="n">
        <v>2</v>
      </c>
      <c r="G114" s="8" t="s">
        <v>503</v>
      </c>
      <c r="H114" s="8" t="s">
        <v>504</v>
      </c>
      <c r="I114" s="8" t="s">
        <v>505</v>
      </c>
      <c r="J114" s="8" t="s">
        <v>506</v>
      </c>
      <c r="K114" s="10"/>
    </row>
    <row r="115" customFormat="false" ht="30" hidden="false" customHeight="true" outlineLevel="0" collapsed="false">
      <c r="B115" s="7"/>
      <c r="C115" s="8"/>
      <c r="D115" s="8"/>
      <c r="E115" s="8"/>
      <c r="F115" s="9" t="n">
        <v>3</v>
      </c>
      <c r="G115" s="8" t="s">
        <v>507</v>
      </c>
      <c r="H115" s="8" t="s">
        <v>508</v>
      </c>
      <c r="I115" s="8" t="s">
        <v>509</v>
      </c>
      <c r="J115" s="8" t="s">
        <v>510</v>
      </c>
      <c r="K115" s="10"/>
    </row>
    <row r="116" customFormat="false" ht="30" hidden="false" customHeight="true" outlineLevel="0" collapsed="false">
      <c r="B116" s="7" t="s">
        <v>511</v>
      </c>
      <c r="C116" s="11" t="s">
        <v>32</v>
      </c>
      <c r="D116" s="11" t="s">
        <v>512</v>
      </c>
      <c r="E116" s="11" t="s">
        <v>513</v>
      </c>
      <c r="F116" s="12" t="n">
        <v>1</v>
      </c>
      <c r="G116" s="11" t="s">
        <v>514</v>
      </c>
      <c r="H116" s="11" t="s">
        <v>515</v>
      </c>
      <c r="I116" s="11" t="s">
        <v>516</v>
      </c>
      <c r="J116" s="11" t="s">
        <v>517</v>
      </c>
      <c r="K116" s="13" t="n">
        <v>3</v>
      </c>
    </row>
    <row r="117" customFormat="false" ht="30" hidden="false" customHeight="true" outlineLevel="0" collapsed="false">
      <c r="B117" s="7"/>
      <c r="C117" s="11"/>
      <c r="D117" s="11"/>
      <c r="E117" s="11"/>
      <c r="F117" s="12" t="n">
        <v>2</v>
      </c>
      <c r="G117" s="11" t="s">
        <v>518</v>
      </c>
      <c r="H117" s="11" t="s">
        <v>519</v>
      </c>
      <c r="I117" s="11" t="s">
        <v>520</v>
      </c>
      <c r="J117" s="11" t="s">
        <v>521</v>
      </c>
      <c r="K117" s="13"/>
    </row>
    <row r="118" customFormat="false" ht="30" hidden="false" customHeight="true" outlineLevel="0" collapsed="false">
      <c r="B118" s="7"/>
      <c r="C118" s="11"/>
      <c r="D118" s="11"/>
      <c r="E118" s="11"/>
      <c r="F118" s="12" t="n">
        <v>3</v>
      </c>
      <c r="G118" s="11" t="s">
        <v>522</v>
      </c>
      <c r="H118" s="11" t="s">
        <v>523</v>
      </c>
      <c r="I118" s="11" t="s">
        <v>524</v>
      </c>
      <c r="J118" s="11" t="s">
        <v>525</v>
      </c>
      <c r="K118" s="13"/>
    </row>
    <row r="119" customFormat="false" ht="30" hidden="false" customHeight="true" outlineLevel="0" collapsed="false">
      <c r="B119" s="14" t="s">
        <v>526</v>
      </c>
      <c r="C119" s="15" t="s">
        <v>74</v>
      </c>
      <c r="D119" s="15" t="s">
        <v>527</v>
      </c>
      <c r="E119" s="15" t="s">
        <v>528</v>
      </c>
      <c r="F119" s="16" t="n">
        <v>1</v>
      </c>
      <c r="G119" s="15" t="s">
        <v>529</v>
      </c>
      <c r="H119" s="15" t="s">
        <v>530</v>
      </c>
      <c r="I119" s="15" t="s">
        <v>424</v>
      </c>
      <c r="J119" s="15" t="s">
        <v>531</v>
      </c>
      <c r="K119" s="17" t="n">
        <v>3</v>
      </c>
    </row>
    <row r="120" customFormat="false" ht="16.5" hidden="false" customHeight="true" outlineLevel="0" collapsed="false">
      <c r="B120" s="14"/>
      <c r="C120" s="15"/>
      <c r="D120" s="15"/>
      <c r="E120" s="15"/>
      <c r="F120" s="16" t="n">
        <v>2</v>
      </c>
      <c r="G120" s="15" t="s">
        <v>532</v>
      </c>
      <c r="H120" s="15" t="s">
        <v>533</v>
      </c>
      <c r="I120" s="15" t="s">
        <v>424</v>
      </c>
      <c r="J120" s="15" t="s">
        <v>534</v>
      </c>
      <c r="K120" s="17"/>
    </row>
    <row r="121" customFormat="false" ht="30" hidden="false" customHeight="true" outlineLevel="0" collapsed="false">
      <c r="B121" s="14"/>
      <c r="C121" s="15"/>
      <c r="D121" s="15"/>
      <c r="E121" s="15"/>
      <c r="F121" s="16" t="n">
        <v>3</v>
      </c>
      <c r="G121" s="15" t="s">
        <v>535</v>
      </c>
      <c r="H121" s="15" t="s">
        <v>536</v>
      </c>
      <c r="I121" s="15" t="s">
        <v>424</v>
      </c>
      <c r="J121" s="15" t="s">
        <v>537</v>
      </c>
      <c r="K121" s="17"/>
    </row>
    <row r="122" customFormat="false" ht="16.5" hidden="false" customHeight="true" outlineLevel="0" collapsed="false">
      <c r="B122" s="14" t="s">
        <v>538</v>
      </c>
      <c r="C122" s="11" t="s">
        <v>32</v>
      </c>
      <c r="D122" s="11" t="s">
        <v>539</v>
      </c>
      <c r="E122" s="11" t="s">
        <v>540</v>
      </c>
      <c r="F122" s="12" t="n">
        <v>1</v>
      </c>
      <c r="G122" s="11" t="s">
        <v>541</v>
      </c>
      <c r="H122" s="11" t="s">
        <v>542</v>
      </c>
      <c r="I122" s="11" t="s">
        <v>543</v>
      </c>
      <c r="J122" s="11" t="s">
        <v>544</v>
      </c>
      <c r="K122" s="13" t="n">
        <v>3</v>
      </c>
    </row>
    <row r="123" customFormat="false" ht="30" hidden="false" customHeight="true" outlineLevel="0" collapsed="false">
      <c r="B123" s="14"/>
      <c r="C123" s="11"/>
      <c r="D123" s="11"/>
      <c r="E123" s="11"/>
      <c r="F123" s="12" t="n">
        <v>2</v>
      </c>
      <c r="G123" s="11" t="s">
        <v>545</v>
      </c>
      <c r="H123" s="11" t="s">
        <v>546</v>
      </c>
      <c r="I123" s="11" t="s">
        <v>547</v>
      </c>
      <c r="J123" s="11" t="s">
        <v>548</v>
      </c>
      <c r="K123" s="13"/>
    </row>
    <row r="124" customFormat="false" ht="30" hidden="false" customHeight="true" outlineLevel="0" collapsed="false">
      <c r="B124" s="14"/>
      <c r="C124" s="11"/>
      <c r="D124" s="11"/>
      <c r="E124" s="11"/>
      <c r="F124" s="12" t="n">
        <v>3</v>
      </c>
      <c r="G124" s="11" t="s">
        <v>549</v>
      </c>
      <c r="H124" s="11" t="s">
        <v>550</v>
      </c>
      <c r="I124" s="11" t="s">
        <v>551</v>
      </c>
      <c r="J124" s="11" t="s">
        <v>552</v>
      </c>
      <c r="K124" s="13"/>
    </row>
    <row r="125" customFormat="false" ht="30" hidden="false" customHeight="true" outlineLevel="0" collapsed="false">
      <c r="B125" s="14" t="s">
        <v>553</v>
      </c>
      <c r="C125" s="15" t="s">
        <v>32</v>
      </c>
      <c r="D125" s="15" t="s">
        <v>554</v>
      </c>
      <c r="E125" s="15" t="s">
        <v>555</v>
      </c>
      <c r="F125" s="16" t="n">
        <v>1</v>
      </c>
      <c r="G125" s="15" t="s">
        <v>556</v>
      </c>
      <c r="H125" s="15" t="s">
        <v>557</v>
      </c>
      <c r="I125" s="15" t="s">
        <v>558</v>
      </c>
      <c r="J125" s="15" t="s">
        <v>559</v>
      </c>
      <c r="K125" s="17" t="n">
        <v>3</v>
      </c>
    </row>
    <row r="126" customFormat="false" ht="30" hidden="false" customHeight="true" outlineLevel="0" collapsed="false">
      <c r="B126" s="14"/>
      <c r="C126" s="15"/>
      <c r="D126" s="15"/>
      <c r="E126" s="15"/>
      <c r="F126" s="16" t="n">
        <v>2</v>
      </c>
      <c r="G126" s="15" t="s">
        <v>560</v>
      </c>
      <c r="H126" s="15" t="s">
        <v>561</v>
      </c>
      <c r="I126" s="15" t="s">
        <v>562</v>
      </c>
      <c r="J126" s="15" t="s">
        <v>563</v>
      </c>
      <c r="K126" s="17"/>
    </row>
    <row r="127" customFormat="false" ht="30" hidden="false" customHeight="true" outlineLevel="0" collapsed="false">
      <c r="B127" s="14"/>
      <c r="C127" s="15"/>
      <c r="D127" s="15"/>
      <c r="E127" s="15"/>
      <c r="F127" s="16" t="n">
        <v>3</v>
      </c>
      <c r="G127" s="15" t="s">
        <v>564</v>
      </c>
      <c r="H127" s="15" t="s">
        <v>519</v>
      </c>
      <c r="I127" s="15" t="s">
        <v>558</v>
      </c>
      <c r="J127" s="15" t="s">
        <v>565</v>
      </c>
      <c r="K127" s="17"/>
    </row>
    <row r="128" customFormat="false" ht="30" hidden="false" customHeight="true" outlineLevel="0" collapsed="false">
      <c r="B128" s="14" t="s">
        <v>566</v>
      </c>
      <c r="C128" s="11" t="s">
        <v>101</v>
      </c>
      <c r="D128" s="11" t="s">
        <v>567</v>
      </c>
      <c r="E128" s="11" t="s">
        <v>568</v>
      </c>
      <c r="F128" s="12" t="n">
        <v>1</v>
      </c>
      <c r="G128" s="11" t="s">
        <v>569</v>
      </c>
      <c r="H128" s="11" t="s">
        <v>570</v>
      </c>
      <c r="I128" s="11" t="s">
        <v>571</v>
      </c>
      <c r="J128" s="11" t="s">
        <v>572</v>
      </c>
      <c r="K128" s="13" t="n">
        <v>3</v>
      </c>
    </row>
    <row r="129" customFormat="false" ht="16.5" hidden="false" customHeight="true" outlineLevel="0" collapsed="false">
      <c r="B129" s="14"/>
      <c r="C129" s="11"/>
      <c r="D129" s="11"/>
      <c r="E129" s="11"/>
      <c r="F129" s="12" t="n">
        <v>2</v>
      </c>
      <c r="G129" s="11" t="s">
        <v>573</v>
      </c>
      <c r="H129" s="11" t="s">
        <v>574</v>
      </c>
      <c r="I129" s="11" t="s">
        <v>571</v>
      </c>
      <c r="J129" s="11" t="s">
        <v>575</v>
      </c>
      <c r="K129" s="13"/>
    </row>
    <row r="130" customFormat="false" ht="30" hidden="false" customHeight="true" outlineLevel="0" collapsed="false">
      <c r="B130" s="14"/>
      <c r="C130" s="11"/>
      <c r="D130" s="11"/>
      <c r="E130" s="11"/>
      <c r="F130" s="12" t="n">
        <v>3</v>
      </c>
      <c r="G130" s="11" t="s">
        <v>576</v>
      </c>
      <c r="H130" s="11" t="s">
        <v>577</v>
      </c>
      <c r="I130" s="11" t="s">
        <v>578</v>
      </c>
      <c r="J130" s="11" t="s">
        <v>579</v>
      </c>
      <c r="K130" s="13"/>
    </row>
    <row r="132" customFormat="false" ht="21.75" hidden="false" customHeight="true" outlineLevel="0" collapsed="false">
      <c r="B132" s="6" t="s">
        <v>580</v>
      </c>
      <c r="C132" s="6"/>
      <c r="D132" s="6"/>
      <c r="E132" s="6"/>
      <c r="F132" s="6"/>
      <c r="G132" s="6"/>
      <c r="H132" s="6"/>
      <c r="I132" s="6"/>
      <c r="J132" s="6"/>
      <c r="K132" s="6"/>
    </row>
    <row r="133" customFormat="false" ht="30" hidden="false" customHeight="true" outlineLevel="0" collapsed="false">
      <c r="B133" s="7" t="s">
        <v>581</v>
      </c>
      <c r="C133" s="8" t="s">
        <v>74</v>
      </c>
      <c r="D133" s="8" t="s">
        <v>582</v>
      </c>
      <c r="E133" s="8" t="s">
        <v>583</v>
      </c>
      <c r="F133" s="9" t="n">
        <v>1</v>
      </c>
      <c r="G133" s="8" t="s">
        <v>584</v>
      </c>
      <c r="H133" s="8" t="s">
        <v>585</v>
      </c>
      <c r="I133" s="8" t="s">
        <v>586</v>
      </c>
      <c r="J133" s="8" t="s">
        <v>587</v>
      </c>
      <c r="K133" s="10" t="n">
        <v>4</v>
      </c>
    </row>
    <row r="134" customFormat="false" ht="16.5" hidden="false" customHeight="true" outlineLevel="0" collapsed="false">
      <c r="B134" s="7"/>
      <c r="C134" s="8"/>
      <c r="D134" s="8"/>
      <c r="E134" s="8"/>
      <c r="F134" s="9" t="n">
        <v>2</v>
      </c>
      <c r="G134" s="8" t="s">
        <v>364</v>
      </c>
      <c r="H134" s="8" t="s">
        <v>588</v>
      </c>
      <c r="I134" s="8" t="s">
        <v>362</v>
      </c>
      <c r="J134" s="8" t="s">
        <v>589</v>
      </c>
      <c r="K134" s="10"/>
    </row>
    <row r="135" customFormat="false" ht="16.5" hidden="false" customHeight="true" outlineLevel="0" collapsed="false">
      <c r="B135" s="7"/>
      <c r="C135" s="8"/>
      <c r="D135" s="8"/>
      <c r="E135" s="8"/>
      <c r="F135" s="9" t="n">
        <v>3</v>
      </c>
      <c r="G135" s="8" t="s">
        <v>590</v>
      </c>
      <c r="H135" s="8" t="s">
        <v>591</v>
      </c>
      <c r="I135" s="8" t="s">
        <v>592</v>
      </c>
      <c r="J135" s="8" t="s">
        <v>593</v>
      </c>
      <c r="K135" s="10"/>
    </row>
    <row r="136" customFormat="false" ht="30" hidden="false" customHeight="true" outlineLevel="0" collapsed="false">
      <c r="B136" s="7" t="s">
        <v>594</v>
      </c>
      <c r="C136" s="11" t="s">
        <v>32</v>
      </c>
      <c r="D136" s="11" t="s">
        <v>595</v>
      </c>
      <c r="E136" s="11" t="s">
        <v>596</v>
      </c>
      <c r="F136" s="12" t="n">
        <v>1</v>
      </c>
      <c r="G136" s="11" t="s">
        <v>597</v>
      </c>
      <c r="H136" s="11" t="s">
        <v>598</v>
      </c>
      <c r="I136" s="11" t="s">
        <v>599</v>
      </c>
      <c r="J136" s="11" t="s">
        <v>600</v>
      </c>
      <c r="K136" s="13" t="n">
        <v>4</v>
      </c>
    </row>
    <row r="137" customFormat="false" ht="16.5" hidden="false" customHeight="true" outlineLevel="0" collapsed="false">
      <c r="B137" s="7"/>
      <c r="C137" s="11"/>
      <c r="D137" s="11"/>
      <c r="E137" s="11"/>
      <c r="F137" s="12" t="n">
        <v>2</v>
      </c>
      <c r="G137" s="11" t="s">
        <v>601</v>
      </c>
      <c r="H137" s="11" t="s">
        <v>602</v>
      </c>
      <c r="I137" s="11" t="s">
        <v>599</v>
      </c>
      <c r="J137" s="11" t="s">
        <v>603</v>
      </c>
      <c r="K137" s="13"/>
    </row>
    <row r="138" customFormat="false" ht="16.5" hidden="false" customHeight="true" outlineLevel="0" collapsed="false">
      <c r="B138" s="7"/>
      <c r="C138" s="11"/>
      <c r="D138" s="11"/>
      <c r="E138" s="11"/>
      <c r="F138" s="12" t="n">
        <v>3</v>
      </c>
      <c r="G138" s="11" t="s">
        <v>604</v>
      </c>
      <c r="H138" s="11" t="s">
        <v>605</v>
      </c>
      <c r="I138" s="11" t="s">
        <v>606</v>
      </c>
      <c r="J138" s="11" t="s">
        <v>607</v>
      </c>
      <c r="K138" s="13"/>
    </row>
    <row r="139" customFormat="false" ht="30" hidden="false" customHeight="true" outlineLevel="0" collapsed="false">
      <c r="B139" s="7" t="s">
        <v>608</v>
      </c>
      <c r="C139" s="8" t="s">
        <v>32</v>
      </c>
      <c r="D139" s="8" t="s">
        <v>609</v>
      </c>
      <c r="E139" s="8" t="s">
        <v>610</v>
      </c>
      <c r="F139" s="9" t="n">
        <v>1</v>
      </c>
      <c r="G139" s="8" t="s">
        <v>611</v>
      </c>
      <c r="H139" s="8" t="s">
        <v>612</v>
      </c>
      <c r="I139" s="8" t="s">
        <v>613</v>
      </c>
      <c r="J139" s="8" t="s">
        <v>614</v>
      </c>
      <c r="K139" s="10" t="n">
        <v>4</v>
      </c>
    </row>
    <row r="140" customFormat="false" ht="30" hidden="false" customHeight="true" outlineLevel="0" collapsed="false">
      <c r="B140" s="7"/>
      <c r="C140" s="8"/>
      <c r="D140" s="8"/>
      <c r="E140" s="8"/>
      <c r="F140" s="9" t="n">
        <v>2</v>
      </c>
      <c r="G140" s="8" t="s">
        <v>615</v>
      </c>
      <c r="H140" s="8" t="s">
        <v>616</v>
      </c>
      <c r="I140" s="8" t="s">
        <v>617</v>
      </c>
      <c r="J140" s="8" t="s">
        <v>618</v>
      </c>
      <c r="K140" s="10"/>
    </row>
    <row r="141" customFormat="false" ht="30" hidden="false" customHeight="true" outlineLevel="0" collapsed="false">
      <c r="B141" s="7"/>
      <c r="C141" s="8"/>
      <c r="D141" s="8"/>
      <c r="E141" s="8"/>
      <c r="F141" s="9" t="n">
        <v>3</v>
      </c>
      <c r="G141" s="8" t="s">
        <v>619</v>
      </c>
      <c r="H141" s="8" t="s">
        <v>620</v>
      </c>
      <c r="I141" s="8" t="s">
        <v>621</v>
      </c>
      <c r="J141" s="8" t="s">
        <v>622</v>
      </c>
      <c r="K141" s="10"/>
    </row>
    <row r="142" customFormat="false" ht="30" hidden="false" customHeight="true" outlineLevel="0" collapsed="false">
      <c r="B142" s="7" t="s">
        <v>623</v>
      </c>
      <c r="C142" s="11" t="s">
        <v>32</v>
      </c>
      <c r="D142" s="11" t="s">
        <v>624</v>
      </c>
      <c r="E142" s="11" t="s">
        <v>625</v>
      </c>
      <c r="F142" s="12" t="n">
        <v>1</v>
      </c>
      <c r="G142" s="11" t="s">
        <v>626</v>
      </c>
      <c r="H142" s="11" t="s">
        <v>627</v>
      </c>
      <c r="I142" s="11" t="s">
        <v>628</v>
      </c>
      <c r="J142" s="11" t="s">
        <v>629</v>
      </c>
      <c r="K142" s="13" t="n">
        <v>4</v>
      </c>
    </row>
    <row r="143" customFormat="false" ht="30" hidden="false" customHeight="true" outlineLevel="0" collapsed="false">
      <c r="B143" s="7"/>
      <c r="C143" s="11"/>
      <c r="D143" s="11"/>
      <c r="E143" s="11"/>
      <c r="F143" s="12" t="n">
        <v>2</v>
      </c>
      <c r="G143" s="11" t="s">
        <v>630</v>
      </c>
      <c r="H143" s="11" t="s">
        <v>631</v>
      </c>
      <c r="I143" s="11" t="s">
        <v>632</v>
      </c>
      <c r="J143" s="11" t="s">
        <v>633</v>
      </c>
      <c r="K143" s="13"/>
    </row>
    <row r="144" customFormat="false" ht="16.5" hidden="false" customHeight="true" outlineLevel="0" collapsed="false">
      <c r="B144" s="7"/>
      <c r="C144" s="11"/>
      <c r="D144" s="11"/>
      <c r="E144" s="11"/>
      <c r="F144" s="12" t="n">
        <v>3</v>
      </c>
      <c r="G144" s="11" t="s">
        <v>634</v>
      </c>
      <c r="H144" s="11" t="s">
        <v>635</v>
      </c>
      <c r="I144" s="11" t="s">
        <v>636</v>
      </c>
      <c r="J144" s="11" t="s">
        <v>637</v>
      </c>
      <c r="K144" s="13"/>
    </row>
    <row r="145" customFormat="false" ht="30" hidden="false" customHeight="true" outlineLevel="0" collapsed="false">
      <c r="B145" s="14" t="s">
        <v>638</v>
      </c>
      <c r="C145" s="15" t="s">
        <v>74</v>
      </c>
      <c r="D145" s="15" t="s">
        <v>639</v>
      </c>
      <c r="E145" s="15" t="s">
        <v>640</v>
      </c>
      <c r="F145" s="16" t="n">
        <v>1</v>
      </c>
      <c r="G145" s="15" t="s">
        <v>641</v>
      </c>
      <c r="H145" s="15" t="s">
        <v>642</v>
      </c>
      <c r="I145" s="15" t="s">
        <v>578</v>
      </c>
      <c r="J145" s="15" t="s">
        <v>643</v>
      </c>
      <c r="K145" s="17" t="n">
        <v>4</v>
      </c>
    </row>
    <row r="146" customFormat="false" ht="30" hidden="false" customHeight="true" outlineLevel="0" collapsed="false">
      <c r="B146" s="14"/>
      <c r="C146" s="15"/>
      <c r="D146" s="15"/>
      <c r="E146" s="15"/>
      <c r="F146" s="16" t="n">
        <v>2</v>
      </c>
      <c r="G146" s="15" t="s">
        <v>644</v>
      </c>
      <c r="H146" s="15" t="s">
        <v>645</v>
      </c>
      <c r="I146" s="15" t="s">
        <v>578</v>
      </c>
      <c r="J146" s="15" t="s">
        <v>646</v>
      </c>
      <c r="K146" s="17"/>
    </row>
    <row r="147" customFormat="false" ht="30" hidden="false" customHeight="true" outlineLevel="0" collapsed="false">
      <c r="B147" s="14"/>
      <c r="C147" s="15"/>
      <c r="D147" s="15"/>
      <c r="E147" s="15"/>
      <c r="F147" s="16" t="n">
        <v>3</v>
      </c>
      <c r="G147" s="15" t="s">
        <v>647</v>
      </c>
      <c r="H147" s="15" t="s">
        <v>648</v>
      </c>
      <c r="I147" s="15" t="s">
        <v>578</v>
      </c>
      <c r="J147" s="15" t="s">
        <v>649</v>
      </c>
      <c r="K147" s="17"/>
    </row>
    <row r="148" customFormat="false" ht="30" hidden="false" customHeight="true" outlineLevel="0" collapsed="false">
      <c r="B148" s="14" t="s">
        <v>650</v>
      </c>
      <c r="C148" s="11" t="s">
        <v>32</v>
      </c>
      <c r="D148" s="11" t="s">
        <v>651</v>
      </c>
      <c r="E148" s="11" t="s">
        <v>652</v>
      </c>
      <c r="F148" s="12" t="n">
        <v>1</v>
      </c>
      <c r="G148" s="11" t="s">
        <v>653</v>
      </c>
      <c r="H148" s="11" t="s">
        <v>612</v>
      </c>
      <c r="I148" s="11" t="s">
        <v>654</v>
      </c>
      <c r="J148" s="11" t="s">
        <v>655</v>
      </c>
      <c r="K148" s="13" t="n">
        <v>4</v>
      </c>
    </row>
    <row r="149" customFormat="false" ht="30" hidden="false" customHeight="true" outlineLevel="0" collapsed="false">
      <c r="B149" s="14"/>
      <c r="C149" s="11"/>
      <c r="D149" s="11"/>
      <c r="E149" s="11"/>
      <c r="F149" s="12" t="n">
        <v>2</v>
      </c>
      <c r="G149" s="11" t="s">
        <v>656</v>
      </c>
      <c r="H149" s="11" t="s">
        <v>657</v>
      </c>
      <c r="I149" s="11" t="s">
        <v>578</v>
      </c>
      <c r="J149" s="11" t="s">
        <v>658</v>
      </c>
      <c r="K149" s="13"/>
    </row>
    <row r="150" customFormat="false" ht="16.5" hidden="false" customHeight="true" outlineLevel="0" collapsed="false">
      <c r="B150" s="14"/>
      <c r="C150" s="11"/>
      <c r="D150" s="11"/>
      <c r="E150" s="11"/>
      <c r="F150" s="12" t="n">
        <v>3</v>
      </c>
      <c r="G150" s="11" t="s">
        <v>436</v>
      </c>
      <c r="H150" s="11" t="s">
        <v>659</v>
      </c>
      <c r="I150" s="11" t="s">
        <v>660</v>
      </c>
      <c r="J150" s="11" t="s">
        <v>661</v>
      </c>
      <c r="K150" s="13"/>
    </row>
    <row r="151" customFormat="false" ht="16.5" hidden="false" customHeight="true" outlineLevel="0" collapsed="false">
      <c r="B151" s="14" t="s">
        <v>662</v>
      </c>
      <c r="C151" s="15" t="s">
        <v>32</v>
      </c>
      <c r="D151" s="15" t="s">
        <v>663</v>
      </c>
      <c r="E151" s="15" t="s">
        <v>664</v>
      </c>
      <c r="F151" s="16" t="n">
        <v>1</v>
      </c>
      <c r="G151" s="15" t="s">
        <v>665</v>
      </c>
      <c r="H151" s="15" t="s">
        <v>666</v>
      </c>
      <c r="I151" s="15" t="s">
        <v>667</v>
      </c>
      <c r="J151" s="15" t="s">
        <v>668</v>
      </c>
      <c r="K151" s="17" t="n">
        <v>4</v>
      </c>
    </row>
    <row r="152" customFormat="false" ht="30" hidden="false" customHeight="true" outlineLevel="0" collapsed="false">
      <c r="B152" s="14"/>
      <c r="C152" s="15"/>
      <c r="D152" s="15"/>
      <c r="E152" s="15"/>
      <c r="F152" s="16" t="n">
        <v>2</v>
      </c>
      <c r="G152" s="15" t="s">
        <v>669</v>
      </c>
      <c r="H152" s="15" t="s">
        <v>670</v>
      </c>
      <c r="I152" s="15" t="s">
        <v>667</v>
      </c>
      <c r="J152" s="15" t="s">
        <v>671</v>
      </c>
      <c r="K152" s="17"/>
    </row>
    <row r="153" customFormat="false" ht="30" hidden="false" customHeight="true" outlineLevel="0" collapsed="false">
      <c r="B153" s="14"/>
      <c r="C153" s="15"/>
      <c r="D153" s="15"/>
      <c r="E153" s="15"/>
      <c r="F153" s="16" t="n">
        <v>3</v>
      </c>
      <c r="G153" s="15" t="s">
        <v>672</v>
      </c>
      <c r="H153" s="15" t="s">
        <v>673</v>
      </c>
      <c r="I153" s="15" t="s">
        <v>592</v>
      </c>
      <c r="J153" s="15" t="s">
        <v>674</v>
      </c>
      <c r="K153" s="17"/>
    </row>
    <row r="154" customFormat="false" ht="30" hidden="false" customHeight="true" outlineLevel="0" collapsed="false">
      <c r="B154" s="14" t="s">
        <v>675</v>
      </c>
      <c r="C154" s="11" t="s">
        <v>101</v>
      </c>
      <c r="D154" s="11" t="s">
        <v>676</v>
      </c>
      <c r="E154" s="11" t="s">
        <v>677</v>
      </c>
      <c r="F154" s="12" t="n">
        <v>1</v>
      </c>
      <c r="G154" s="11" t="s">
        <v>584</v>
      </c>
      <c r="H154" s="11" t="s">
        <v>678</v>
      </c>
      <c r="I154" s="11" t="s">
        <v>571</v>
      </c>
      <c r="J154" s="11" t="s">
        <v>572</v>
      </c>
      <c r="K154" s="13" t="n">
        <v>4</v>
      </c>
    </row>
    <row r="155" customFormat="false" ht="30" hidden="false" customHeight="true" outlineLevel="0" collapsed="false">
      <c r="B155" s="14"/>
      <c r="C155" s="11"/>
      <c r="D155" s="11"/>
      <c r="E155" s="11"/>
      <c r="F155" s="12" t="n">
        <v>2</v>
      </c>
      <c r="G155" s="11" t="s">
        <v>576</v>
      </c>
      <c r="H155" s="11" t="s">
        <v>679</v>
      </c>
      <c r="I155" s="11" t="s">
        <v>578</v>
      </c>
      <c r="J155" s="11" t="s">
        <v>680</v>
      </c>
      <c r="K155" s="13"/>
    </row>
    <row r="156" customFormat="false" ht="16.5" hidden="false" customHeight="true" outlineLevel="0" collapsed="false">
      <c r="B156" s="14"/>
      <c r="C156" s="11"/>
      <c r="D156" s="11"/>
      <c r="E156" s="11"/>
      <c r="F156" s="12" t="n">
        <v>3</v>
      </c>
      <c r="G156" s="11" t="s">
        <v>681</v>
      </c>
      <c r="H156" s="11" t="s">
        <v>682</v>
      </c>
      <c r="I156" s="11" t="s">
        <v>683</v>
      </c>
      <c r="J156" s="11" t="s">
        <v>684</v>
      </c>
      <c r="K156" s="13"/>
    </row>
    <row r="158" customFormat="false" ht="21.75" hidden="false" customHeight="true" outlineLevel="0" collapsed="false">
      <c r="B158" s="6" t="s">
        <v>685</v>
      </c>
      <c r="C158" s="6"/>
      <c r="D158" s="6"/>
      <c r="E158" s="6"/>
      <c r="F158" s="6"/>
      <c r="G158" s="6"/>
      <c r="H158" s="6"/>
      <c r="I158" s="6"/>
      <c r="J158" s="6"/>
      <c r="K158" s="6"/>
    </row>
    <row r="159" customFormat="false" ht="30" hidden="false" customHeight="true" outlineLevel="0" collapsed="false">
      <c r="B159" s="7" t="s">
        <v>686</v>
      </c>
      <c r="C159" s="8" t="s">
        <v>101</v>
      </c>
      <c r="D159" s="8" t="s">
        <v>687</v>
      </c>
      <c r="E159" s="8" t="s">
        <v>688</v>
      </c>
      <c r="F159" s="9" t="n">
        <v>1</v>
      </c>
      <c r="G159" s="8" t="s">
        <v>689</v>
      </c>
      <c r="H159" s="8" t="s">
        <v>690</v>
      </c>
      <c r="I159" s="8" t="s">
        <v>691</v>
      </c>
      <c r="J159" s="8" t="s">
        <v>692</v>
      </c>
      <c r="K159" s="10" t="n">
        <v>5</v>
      </c>
    </row>
    <row r="160" customFormat="false" ht="16.5" hidden="false" customHeight="true" outlineLevel="0" collapsed="false">
      <c r="B160" s="7"/>
      <c r="C160" s="8"/>
      <c r="D160" s="8"/>
      <c r="E160" s="8"/>
      <c r="F160" s="9" t="n">
        <v>2</v>
      </c>
      <c r="G160" s="8" t="s">
        <v>693</v>
      </c>
      <c r="H160" s="8" t="s">
        <v>694</v>
      </c>
      <c r="I160" s="8" t="s">
        <v>691</v>
      </c>
      <c r="J160" s="8" t="s">
        <v>695</v>
      </c>
      <c r="K160" s="10"/>
    </row>
    <row r="161" customFormat="false" ht="30" hidden="false" customHeight="true" outlineLevel="0" collapsed="false">
      <c r="B161" s="7"/>
      <c r="C161" s="8"/>
      <c r="D161" s="8"/>
      <c r="E161" s="8"/>
      <c r="F161" s="9" t="n">
        <v>3</v>
      </c>
      <c r="G161" s="8" t="s">
        <v>696</v>
      </c>
      <c r="H161" s="8" t="s">
        <v>697</v>
      </c>
      <c r="I161" s="8" t="s">
        <v>698</v>
      </c>
      <c r="J161" s="8" t="s">
        <v>699</v>
      </c>
      <c r="K161" s="10"/>
    </row>
    <row r="162" customFormat="false" ht="30" hidden="false" customHeight="true" outlineLevel="0" collapsed="false">
      <c r="B162" s="7" t="s">
        <v>700</v>
      </c>
      <c r="C162" s="11" t="s">
        <v>32</v>
      </c>
      <c r="D162" s="11" t="s">
        <v>701</v>
      </c>
      <c r="E162" s="11" t="s">
        <v>702</v>
      </c>
      <c r="F162" s="12" t="n">
        <v>1</v>
      </c>
      <c r="G162" s="11" t="s">
        <v>703</v>
      </c>
      <c r="H162" s="11" t="s">
        <v>704</v>
      </c>
      <c r="I162" s="11" t="s">
        <v>705</v>
      </c>
      <c r="J162" s="11" t="s">
        <v>706</v>
      </c>
      <c r="K162" s="13" t="n">
        <v>5</v>
      </c>
    </row>
    <row r="163" customFormat="false" ht="16.5" hidden="false" customHeight="true" outlineLevel="0" collapsed="false">
      <c r="B163" s="7"/>
      <c r="C163" s="11"/>
      <c r="D163" s="11"/>
      <c r="E163" s="11"/>
      <c r="F163" s="12" t="n">
        <v>2</v>
      </c>
      <c r="G163" s="11" t="s">
        <v>707</v>
      </c>
      <c r="H163" s="11" t="s">
        <v>708</v>
      </c>
      <c r="I163" s="11" t="s">
        <v>705</v>
      </c>
      <c r="J163" s="11" t="s">
        <v>709</v>
      </c>
      <c r="K163" s="13"/>
    </row>
    <row r="164" customFormat="false" ht="30" hidden="false" customHeight="true" outlineLevel="0" collapsed="false">
      <c r="B164" s="7"/>
      <c r="C164" s="11"/>
      <c r="D164" s="11"/>
      <c r="E164" s="11"/>
      <c r="F164" s="12" t="n">
        <v>3</v>
      </c>
      <c r="G164" s="11" t="s">
        <v>710</v>
      </c>
      <c r="H164" s="11" t="s">
        <v>711</v>
      </c>
      <c r="I164" s="11" t="s">
        <v>705</v>
      </c>
      <c r="J164" s="11" t="s">
        <v>712</v>
      </c>
      <c r="K164" s="13"/>
    </row>
    <row r="165" customFormat="false" ht="30" hidden="false" customHeight="true" outlineLevel="0" collapsed="false">
      <c r="B165" s="7" t="s">
        <v>713</v>
      </c>
      <c r="C165" s="8" t="s">
        <v>32</v>
      </c>
      <c r="D165" s="8" t="s">
        <v>714</v>
      </c>
      <c r="E165" s="8" t="s">
        <v>715</v>
      </c>
      <c r="F165" s="9" t="n">
        <v>1</v>
      </c>
      <c r="G165" s="8" t="s">
        <v>716</v>
      </c>
      <c r="H165" s="8" t="s">
        <v>717</v>
      </c>
      <c r="I165" s="8" t="s">
        <v>718</v>
      </c>
      <c r="J165" s="8" t="s">
        <v>719</v>
      </c>
      <c r="K165" s="10" t="n">
        <v>5</v>
      </c>
    </row>
    <row r="166" customFormat="false" ht="30" hidden="false" customHeight="true" outlineLevel="0" collapsed="false">
      <c r="B166" s="7"/>
      <c r="C166" s="8"/>
      <c r="D166" s="8"/>
      <c r="E166" s="8"/>
      <c r="F166" s="9" t="n">
        <v>2</v>
      </c>
      <c r="G166" s="8" t="s">
        <v>720</v>
      </c>
      <c r="H166" s="8" t="s">
        <v>721</v>
      </c>
      <c r="I166" s="8" t="s">
        <v>718</v>
      </c>
      <c r="J166" s="8" t="s">
        <v>722</v>
      </c>
      <c r="K166" s="10"/>
    </row>
    <row r="167" customFormat="false" ht="30" hidden="false" customHeight="true" outlineLevel="0" collapsed="false">
      <c r="B167" s="7"/>
      <c r="C167" s="8"/>
      <c r="D167" s="8"/>
      <c r="E167" s="8"/>
      <c r="F167" s="9" t="n">
        <v>3</v>
      </c>
      <c r="G167" s="8" t="s">
        <v>723</v>
      </c>
      <c r="H167" s="8" t="s">
        <v>724</v>
      </c>
      <c r="I167" s="8" t="s">
        <v>725</v>
      </c>
      <c r="J167" s="8" t="s">
        <v>726</v>
      </c>
      <c r="K167" s="10"/>
    </row>
    <row r="168" customFormat="false" ht="30" hidden="false" customHeight="true" outlineLevel="0" collapsed="false">
      <c r="B168" s="7" t="s">
        <v>727</v>
      </c>
      <c r="C168" s="11" t="s">
        <v>32</v>
      </c>
      <c r="D168" s="11" t="s">
        <v>728</v>
      </c>
      <c r="E168" s="11" t="s">
        <v>729</v>
      </c>
      <c r="F168" s="12" t="n">
        <v>1</v>
      </c>
      <c r="G168" s="11" t="s">
        <v>730</v>
      </c>
      <c r="H168" s="11" t="s">
        <v>731</v>
      </c>
      <c r="I168" s="11" t="s">
        <v>732</v>
      </c>
      <c r="J168" s="11" t="s">
        <v>733</v>
      </c>
      <c r="K168" s="13" t="n">
        <v>5</v>
      </c>
    </row>
    <row r="169" customFormat="false" ht="30" hidden="false" customHeight="true" outlineLevel="0" collapsed="false">
      <c r="B169" s="7"/>
      <c r="C169" s="11"/>
      <c r="D169" s="11"/>
      <c r="E169" s="11"/>
      <c r="F169" s="12" t="n">
        <v>2</v>
      </c>
      <c r="G169" s="11" t="s">
        <v>734</v>
      </c>
      <c r="H169" s="11" t="s">
        <v>735</v>
      </c>
      <c r="I169" s="11" t="s">
        <v>736</v>
      </c>
      <c r="J169" s="11" t="s">
        <v>737</v>
      </c>
      <c r="K169" s="13"/>
    </row>
    <row r="170" customFormat="false" ht="16.5" hidden="false" customHeight="true" outlineLevel="0" collapsed="false">
      <c r="B170" s="7"/>
      <c r="C170" s="11"/>
      <c r="D170" s="11"/>
      <c r="E170" s="11"/>
      <c r="F170" s="12" t="n">
        <v>3</v>
      </c>
      <c r="G170" s="11" t="s">
        <v>738</v>
      </c>
      <c r="H170" s="11" t="s">
        <v>739</v>
      </c>
      <c r="I170" s="11" t="s">
        <v>405</v>
      </c>
      <c r="J170" s="11" t="s">
        <v>740</v>
      </c>
      <c r="K170" s="13"/>
    </row>
    <row r="171" customFormat="false" ht="30" hidden="false" customHeight="true" outlineLevel="0" collapsed="false">
      <c r="B171" s="14" t="s">
        <v>741</v>
      </c>
      <c r="C171" s="15" t="s">
        <v>101</v>
      </c>
      <c r="D171" s="15" t="s">
        <v>742</v>
      </c>
      <c r="E171" s="15" t="s">
        <v>743</v>
      </c>
      <c r="F171" s="16" t="n">
        <v>1</v>
      </c>
      <c r="G171" s="15" t="s">
        <v>744</v>
      </c>
      <c r="H171" s="15" t="s">
        <v>745</v>
      </c>
      <c r="I171" s="15" t="s">
        <v>578</v>
      </c>
      <c r="J171" s="15" t="s">
        <v>746</v>
      </c>
      <c r="K171" s="17" t="n">
        <v>5</v>
      </c>
    </row>
    <row r="172" customFormat="false" ht="30" hidden="false" customHeight="true" outlineLevel="0" collapsed="false">
      <c r="B172" s="14"/>
      <c r="C172" s="15"/>
      <c r="D172" s="15"/>
      <c r="E172" s="15"/>
      <c r="F172" s="16" t="n">
        <v>2</v>
      </c>
      <c r="G172" s="15" t="s">
        <v>747</v>
      </c>
      <c r="H172" s="15" t="s">
        <v>748</v>
      </c>
      <c r="I172" s="15" t="s">
        <v>749</v>
      </c>
      <c r="J172" s="15" t="s">
        <v>750</v>
      </c>
      <c r="K172" s="17"/>
    </row>
    <row r="173" customFormat="false" ht="16.5" hidden="false" customHeight="true" outlineLevel="0" collapsed="false">
      <c r="B173" s="14"/>
      <c r="C173" s="15"/>
      <c r="D173" s="15"/>
      <c r="E173" s="15"/>
      <c r="F173" s="16" t="n">
        <v>3</v>
      </c>
      <c r="G173" s="15" t="s">
        <v>751</v>
      </c>
      <c r="H173" s="15" t="s">
        <v>752</v>
      </c>
      <c r="I173" s="15" t="s">
        <v>578</v>
      </c>
      <c r="J173" s="15" t="s">
        <v>649</v>
      </c>
      <c r="K173" s="17"/>
    </row>
    <row r="174" customFormat="false" ht="30" hidden="false" customHeight="true" outlineLevel="0" collapsed="false">
      <c r="B174" s="14" t="s">
        <v>753</v>
      </c>
      <c r="C174" s="11" t="s">
        <v>32</v>
      </c>
      <c r="D174" s="11" t="s">
        <v>754</v>
      </c>
      <c r="E174" s="11" t="s">
        <v>755</v>
      </c>
      <c r="F174" s="12" t="n">
        <v>1</v>
      </c>
      <c r="G174" s="11" t="s">
        <v>756</v>
      </c>
      <c r="H174" s="11" t="s">
        <v>757</v>
      </c>
      <c r="I174" s="11" t="s">
        <v>578</v>
      </c>
      <c r="J174" s="11" t="s">
        <v>758</v>
      </c>
      <c r="K174" s="13" t="n">
        <v>5</v>
      </c>
    </row>
    <row r="175" customFormat="false" ht="30" hidden="false" customHeight="true" outlineLevel="0" collapsed="false">
      <c r="B175" s="14"/>
      <c r="C175" s="11"/>
      <c r="D175" s="11"/>
      <c r="E175" s="11"/>
      <c r="F175" s="12" t="n">
        <v>2</v>
      </c>
      <c r="G175" s="11" t="s">
        <v>759</v>
      </c>
      <c r="H175" s="11" t="s">
        <v>760</v>
      </c>
      <c r="I175" s="11" t="s">
        <v>578</v>
      </c>
      <c r="J175" s="11" t="s">
        <v>761</v>
      </c>
      <c r="K175" s="13"/>
    </row>
    <row r="176" customFormat="false" ht="30" hidden="false" customHeight="true" outlineLevel="0" collapsed="false">
      <c r="B176" s="14"/>
      <c r="C176" s="11"/>
      <c r="D176" s="11"/>
      <c r="E176" s="11"/>
      <c r="F176" s="12" t="n">
        <v>3</v>
      </c>
      <c r="G176" s="11" t="s">
        <v>762</v>
      </c>
      <c r="H176" s="11" t="s">
        <v>763</v>
      </c>
      <c r="I176" s="11" t="s">
        <v>578</v>
      </c>
      <c r="J176" s="11" t="s">
        <v>764</v>
      </c>
      <c r="K176" s="13"/>
    </row>
    <row r="177" customFormat="false" ht="30" hidden="false" customHeight="true" outlineLevel="0" collapsed="false">
      <c r="B177" s="14" t="s">
        <v>765</v>
      </c>
      <c r="C177" s="15" t="s">
        <v>32</v>
      </c>
      <c r="D177" s="15" t="s">
        <v>766</v>
      </c>
      <c r="E177" s="15" t="s">
        <v>767</v>
      </c>
      <c r="F177" s="16" t="n">
        <v>1</v>
      </c>
      <c r="G177" s="15" t="s">
        <v>768</v>
      </c>
      <c r="H177" s="15" t="s">
        <v>769</v>
      </c>
      <c r="I177" s="15" t="s">
        <v>578</v>
      </c>
      <c r="J177" s="15" t="s">
        <v>770</v>
      </c>
      <c r="K177" s="17" t="n">
        <v>5</v>
      </c>
    </row>
    <row r="178" customFormat="false" ht="30" hidden="false" customHeight="true" outlineLevel="0" collapsed="false">
      <c r="B178" s="14"/>
      <c r="C178" s="15"/>
      <c r="D178" s="15"/>
      <c r="E178" s="15"/>
      <c r="F178" s="16" t="n">
        <v>2</v>
      </c>
      <c r="G178" s="15" t="s">
        <v>771</v>
      </c>
      <c r="H178" s="15" t="s">
        <v>772</v>
      </c>
      <c r="I178" s="15" t="s">
        <v>578</v>
      </c>
      <c r="J178" s="15" t="s">
        <v>773</v>
      </c>
      <c r="K178" s="17"/>
    </row>
    <row r="179" customFormat="false" ht="30" hidden="false" customHeight="true" outlineLevel="0" collapsed="false">
      <c r="B179" s="14"/>
      <c r="C179" s="15"/>
      <c r="D179" s="15"/>
      <c r="E179" s="15"/>
      <c r="F179" s="16" t="n">
        <v>3</v>
      </c>
      <c r="G179" s="15" t="s">
        <v>774</v>
      </c>
      <c r="H179" s="15" t="s">
        <v>775</v>
      </c>
      <c r="I179" s="15" t="s">
        <v>578</v>
      </c>
      <c r="J179" s="15" t="s">
        <v>776</v>
      </c>
      <c r="K179" s="17"/>
    </row>
    <row r="180" customFormat="false" ht="30" hidden="false" customHeight="true" outlineLevel="0" collapsed="false">
      <c r="B180" s="14" t="s">
        <v>777</v>
      </c>
      <c r="C180" s="11" t="s">
        <v>101</v>
      </c>
      <c r="D180" s="11" t="s">
        <v>778</v>
      </c>
      <c r="E180" s="11" t="s">
        <v>779</v>
      </c>
      <c r="F180" s="12" t="n">
        <v>1</v>
      </c>
      <c r="G180" s="11" t="s">
        <v>584</v>
      </c>
      <c r="H180" s="11" t="s">
        <v>780</v>
      </c>
      <c r="I180" s="11" t="s">
        <v>578</v>
      </c>
      <c r="J180" s="11" t="s">
        <v>781</v>
      </c>
      <c r="K180" s="13" t="n">
        <v>5</v>
      </c>
    </row>
    <row r="181" customFormat="false" ht="16.5" hidden="false" customHeight="true" outlineLevel="0" collapsed="false">
      <c r="B181" s="14"/>
      <c r="C181" s="11"/>
      <c r="D181" s="11"/>
      <c r="E181" s="11"/>
      <c r="F181" s="12" t="n">
        <v>2</v>
      </c>
      <c r="G181" s="11" t="s">
        <v>576</v>
      </c>
      <c r="H181" s="11" t="s">
        <v>782</v>
      </c>
      <c r="I181" s="11" t="s">
        <v>578</v>
      </c>
      <c r="J181" s="11" t="s">
        <v>783</v>
      </c>
      <c r="K181" s="13"/>
    </row>
    <row r="182" customFormat="false" ht="30" hidden="false" customHeight="true" outlineLevel="0" collapsed="false">
      <c r="B182" s="14"/>
      <c r="C182" s="11"/>
      <c r="D182" s="11"/>
      <c r="E182" s="11"/>
      <c r="F182" s="12" t="n">
        <v>3</v>
      </c>
      <c r="G182" s="11" t="s">
        <v>326</v>
      </c>
      <c r="H182" s="11" t="s">
        <v>784</v>
      </c>
      <c r="I182" s="11" t="s">
        <v>592</v>
      </c>
      <c r="J182" s="11" t="s">
        <v>785</v>
      </c>
      <c r="K182" s="13"/>
    </row>
    <row r="184" customFormat="false" ht="21.75" hidden="false" customHeight="true" outlineLevel="0" collapsed="false">
      <c r="B184" s="6" t="s">
        <v>786</v>
      </c>
      <c r="C184" s="6"/>
      <c r="D184" s="6"/>
      <c r="E184" s="6"/>
      <c r="F184" s="6"/>
      <c r="G184" s="6"/>
      <c r="H184" s="6"/>
      <c r="I184" s="6"/>
      <c r="J184" s="6"/>
      <c r="K184" s="6"/>
    </row>
    <row r="185" customFormat="false" ht="30" hidden="false" customHeight="true" outlineLevel="0" collapsed="false">
      <c r="B185" s="7" t="s">
        <v>787</v>
      </c>
      <c r="C185" s="8" t="s">
        <v>32</v>
      </c>
      <c r="D185" s="8" t="s">
        <v>788</v>
      </c>
      <c r="E185" s="8" t="s">
        <v>789</v>
      </c>
      <c r="F185" s="9" t="n">
        <v>1</v>
      </c>
      <c r="G185" s="8" t="s">
        <v>790</v>
      </c>
      <c r="H185" s="8" t="s">
        <v>791</v>
      </c>
      <c r="I185" s="8" t="s">
        <v>792</v>
      </c>
      <c r="J185" s="8" t="s">
        <v>793</v>
      </c>
      <c r="K185" s="10" t="n">
        <v>6</v>
      </c>
    </row>
    <row r="186" customFormat="false" ht="30" hidden="false" customHeight="true" outlineLevel="0" collapsed="false">
      <c r="B186" s="7"/>
      <c r="C186" s="8"/>
      <c r="D186" s="8"/>
      <c r="E186" s="8"/>
      <c r="F186" s="9" t="n">
        <v>2</v>
      </c>
      <c r="G186" s="8" t="s">
        <v>794</v>
      </c>
      <c r="H186" s="8" t="s">
        <v>795</v>
      </c>
      <c r="I186" s="8" t="s">
        <v>796</v>
      </c>
      <c r="J186" s="8" t="s">
        <v>797</v>
      </c>
      <c r="K186" s="10"/>
    </row>
    <row r="187" customFormat="false" ht="30" hidden="false" customHeight="true" outlineLevel="0" collapsed="false">
      <c r="B187" s="7"/>
      <c r="C187" s="8"/>
      <c r="D187" s="8"/>
      <c r="E187" s="8"/>
      <c r="F187" s="9" t="n">
        <v>3</v>
      </c>
      <c r="G187" s="8" t="s">
        <v>54</v>
      </c>
      <c r="H187" s="8" t="s">
        <v>798</v>
      </c>
      <c r="I187" s="8" t="s">
        <v>796</v>
      </c>
      <c r="J187" s="8" t="s">
        <v>799</v>
      </c>
      <c r="K187" s="10"/>
    </row>
    <row r="188" customFormat="false" ht="30" hidden="false" customHeight="true" outlineLevel="0" collapsed="false">
      <c r="B188" s="7" t="s">
        <v>800</v>
      </c>
      <c r="C188" s="11" t="s">
        <v>32</v>
      </c>
      <c r="D188" s="11" t="s">
        <v>801</v>
      </c>
      <c r="E188" s="11" t="s">
        <v>802</v>
      </c>
      <c r="F188" s="12" t="n">
        <v>1</v>
      </c>
      <c r="G188" s="11" t="s">
        <v>803</v>
      </c>
      <c r="H188" s="11" t="s">
        <v>635</v>
      </c>
      <c r="I188" s="11" t="s">
        <v>804</v>
      </c>
      <c r="J188" s="11" t="s">
        <v>805</v>
      </c>
      <c r="K188" s="13" t="n">
        <v>6</v>
      </c>
    </row>
    <row r="189" customFormat="false" ht="16.5" hidden="false" customHeight="true" outlineLevel="0" collapsed="false">
      <c r="B189" s="7"/>
      <c r="C189" s="11"/>
      <c r="D189" s="11"/>
      <c r="E189" s="11"/>
      <c r="F189" s="12" t="n">
        <v>2</v>
      </c>
      <c r="G189" s="11" t="s">
        <v>806</v>
      </c>
      <c r="H189" s="11" t="s">
        <v>807</v>
      </c>
      <c r="I189" s="11" t="s">
        <v>808</v>
      </c>
      <c r="J189" s="11" t="s">
        <v>809</v>
      </c>
      <c r="K189" s="13"/>
    </row>
    <row r="190" customFormat="false" ht="16.5" hidden="false" customHeight="true" outlineLevel="0" collapsed="false">
      <c r="B190" s="7"/>
      <c r="C190" s="11"/>
      <c r="D190" s="11"/>
      <c r="E190" s="11"/>
      <c r="F190" s="12" t="n">
        <v>3</v>
      </c>
      <c r="G190" s="11" t="s">
        <v>810</v>
      </c>
      <c r="H190" s="11" t="s">
        <v>811</v>
      </c>
      <c r="I190" s="11" t="s">
        <v>812</v>
      </c>
      <c r="J190" s="11" t="s">
        <v>813</v>
      </c>
      <c r="K190" s="13"/>
    </row>
    <row r="191" customFormat="false" ht="30" hidden="false" customHeight="true" outlineLevel="0" collapsed="false">
      <c r="B191" s="7" t="s">
        <v>814</v>
      </c>
      <c r="C191" s="8" t="s">
        <v>32</v>
      </c>
      <c r="D191" s="8" t="s">
        <v>815</v>
      </c>
      <c r="E191" s="8" t="s">
        <v>816</v>
      </c>
      <c r="F191" s="9" t="n">
        <v>1</v>
      </c>
      <c r="G191" s="8" t="s">
        <v>817</v>
      </c>
      <c r="H191" s="8" t="s">
        <v>818</v>
      </c>
      <c r="I191" s="8" t="s">
        <v>819</v>
      </c>
      <c r="J191" s="8" t="s">
        <v>820</v>
      </c>
      <c r="K191" s="10" t="n">
        <v>6</v>
      </c>
    </row>
    <row r="192" customFormat="false" ht="30" hidden="false" customHeight="true" outlineLevel="0" collapsed="false">
      <c r="B192" s="7"/>
      <c r="C192" s="8"/>
      <c r="D192" s="8"/>
      <c r="E192" s="8"/>
      <c r="F192" s="9" t="n">
        <v>2</v>
      </c>
      <c r="G192" s="8" t="s">
        <v>821</v>
      </c>
      <c r="H192" s="8" t="s">
        <v>822</v>
      </c>
      <c r="I192" s="8" t="s">
        <v>823</v>
      </c>
      <c r="J192" s="8" t="s">
        <v>824</v>
      </c>
      <c r="K192" s="10"/>
    </row>
    <row r="193" customFormat="false" ht="16.5" hidden="false" customHeight="true" outlineLevel="0" collapsed="false">
      <c r="B193" s="7"/>
      <c r="C193" s="8"/>
      <c r="D193" s="8"/>
      <c r="E193" s="8"/>
      <c r="F193" s="9" t="n">
        <v>3</v>
      </c>
      <c r="G193" s="8" t="s">
        <v>825</v>
      </c>
      <c r="H193" s="8" t="s">
        <v>826</v>
      </c>
      <c r="I193" s="8" t="s">
        <v>823</v>
      </c>
      <c r="J193" s="8" t="s">
        <v>827</v>
      </c>
      <c r="K193" s="10"/>
    </row>
    <row r="194" customFormat="false" ht="30" hidden="false" customHeight="true" outlineLevel="0" collapsed="false">
      <c r="B194" s="7" t="s">
        <v>828</v>
      </c>
      <c r="C194" s="11" t="s">
        <v>32</v>
      </c>
      <c r="D194" s="11" t="s">
        <v>829</v>
      </c>
      <c r="E194" s="11" t="s">
        <v>830</v>
      </c>
      <c r="F194" s="12" t="n">
        <v>1</v>
      </c>
      <c r="G194" s="11" t="s">
        <v>831</v>
      </c>
      <c r="H194" s="11" t="s">
        <v>832</v>
      </c>
      <c r="I194" s="11" t="s">
        <v>833</v>
      </c>
      <c r="J194" s="11" t="s">
        <v>834</v>
      </c>
      <c r="K194" s="13" t="n">
        <v>6</v>
      </c>
    </row>
    <row r="195" customFormat="false" ht="30" hidden="false" customHeight="true" outlineLevel="0" collapsed="false">
      <c r="B195" s="7"/>
      <c r="C195" s="11"/>
      <c r="D195" s="11"/>
      <c r="E195" s="11"/>
      <c r="F195" s="12" t="n">
        <v>2</v>
      </c>
      <c r="G195" s="11" t="s">
        <v>835</v>
      </c>
      <c r="H195" s="11" t="s">
        <v>836</v>
      </c>
      <c r="I195" s="11" t="s">
        <v>837</v>
      </c>
      <c r="J195" s="11" t="s">
        <v>838</v>
      </c>
      <c r="K195" s="13"/>
    </row>
    <row r="196" customFormat="false" ht="16.5" hidden="false" customHeight="true" outlineLevel="0" collapsed="false">
      <c r="B196" s="7"/>
      <c r="C196" s="11"/>
      <c r="D196" s="11"/>
      <c r="E196" s="11"/>
      <c r="F196" s="12" t="n">
        <v>3</v>
      </c>
      <c r="G196" s="11" t="s">
        <v>839</v>
      </c>
      <c r="H196" s="11" t="s">
        <v>840</v>
      </c>
      <c r="I196" s="11" t="s">
        <v>841</v>
      </c>
      <c r="J196" s="11" t="s">
        <v>842</v>
      </c>
      <c r="K196" s="13"/>
    </row>
    <row r="197" customFormat="false" ht="16.5" hidden="false" customHeight="true" outlineLevel="0" collapsed="false">
      <c r="B197" s="14" t="s">
        <v>843</v>
      </c>
      <c r="C197" s="15" t="s">
        <v>32</v>
      </c>
      <c r="D197" s="15" t="s">
        <v>844</v>
      </c>
      <c r="E197" s="15" t="s">
        <v>845</v>
      </c>
      <c r="F197" s="16" t="n">
        <v>1</v>
      </c>
      <c r="G197" s="15" t="s">
        <v>846</v>
      </c>
      <c r="H197" s="15" t="s">
        <v>847</v>
      </c>
      <c r="I197" s="15" t="s">
        <v>578</v>
      </c>
      <c r="J197" s="15" t="s">
        <v>848</v>
      </c>
      <c r="K197" s="17" t="n">
        <v>6</v>
      </c>
    </row>
    <row r="198" customFormat="false" ht="16.5" hidden="false" customHeight="true" outlineLevel="0" collapsed="false">
      <c r="B198" s="14"/>
      <c r="C198" s="15"/>
      <c r="D198" s="15"/>
      <c r="E198" s="15"/>
      <c r="F198" s="16" t="n">
        <v>2</v>
      </c>
      <c r="G198" s="15" t="s">
        <v>849</v>
      </c>
      <c r="H198" s="15" t="s">
        <v>850</v>
      </c>
      <c r="I198" s="15" t="s">
        <v>578</v>
      </c>
      <c r="J198" s="15" t="s">
        <v>851</v>
      </c>
      <c r="K198" s="17"/>
    </row>
    <row r="199" customFormat="false" ht="21.75" hidden="false" customHeight="true" outlineLevel="0" collapsed="false">
      <c r="B199" s="14"/>
      <c r="C199" s="15"/>
      <c r="D199" s="15"/>
      <c r="E199" s="15"/>
      <c r="F199" s="16" t="n">
        <v>3</v>
      </c>
      <c r="G199" s="15" t="s">
        <v>852</v>
      </c>
      <c r="H199" s="15" t="s">
        <v>853</v>
      </c>
      <c r="I199" s="15" t="s">
        <v>854</v>
      </c>
      <c r="J199" s="15" t="s">
        <v>855</v>
      </c>
      <c r="K199" s="17"/>
    </row>
    <row r="200" customFormat="false" ht="30" hidden="false" customHeight="true" outlineLevel="0" collapsed="false">
      <c r="B200" s="14" t="s">
        <v>856</v>
      </c>
      <c r="C200" s="11" t="s">
        <v>32</v>
      </c>
      <c r="D200" s="11" t="s">
        <v>857</v>
      </c>
      <c r="E200" s="11" t="s">
        <v>858</v>
      </c>
      <c r="F200" s="12" t="n">
        <v>1</v>
      </c>
      <c r="G200" s="11" t="s">
        <v>859</v>
      </c>
      <c r="H200" s="11" t="s">
        <v>860</v>
      </c>
      <c r="I200" s="11" t="s">
        <v>578</v>
      </c>
      <c r="J200" s="11" t="s">
        <v>861</v>
      </c>
      <c r="K200" s="13" t="n">
        <v>6</v>
      </c>
    </row>
    <row r="201" customFormat="false" ht="30" hidden="false" customHeight="true" outlineLevel="0" collapsed="false">
      <c r="B201" s="14"/>
      <c r="C201" s="11"/>
      <c r="D201" s="11"/>
      <c r="E201" s="11"/>
      <c r="F201" s="12" t="n">
        <v>2</v>
      </c>
      <c r="G201" s="11" t="s">
        <v>862</v>
      </c>
      <c r="H201" s="11" t="s">
        <v>863</v>
      </c>
      <c r="I201" s="11" t="s">
        <v>578</v>
      </c>
      <c r="J201" s="11" t="s">
        <v>864</v>
      </c>
      <c r="K201" s="13"/>
    </row>
    <row r="202" customFormat="false" ht="16.5" hidden="false" customHeight="true" outlineLevel="0" collapsed="false">
      <c r="B202" s="14"/>
      <c r="C202" s="11"/>
      <c r="D202" s="11"/>
      <c r="E202" s="11"/>
      <c r="F202" s="12" t="n">
        <v>3</v>
      </c>
      <c r="G202" s="11" t="s">
        <v>865</v>
      </c>
      <c r="H202" s="11" t="s">
        <v>866</v>
      </c>
      <c r="I202" s="11" t="s">
        <v>578</v>
      </c>
      <c r="J202" s="11" t="s">
        <v>867</v>
      </c>
      <c r="K202" s="13"/>
    </row>
    <row r="203" customFormat="false" ht="16.5" hidden="false" customHeight="true" outlineLevel="0" collapsed="false">
      <c r="B203" s="14" t="s">
        <v>868</v>
      </c>
      <c r="C203" s="15" t="s">
        <v>101</v>
      </c>
      <c r="D203" s="15" t="s">
        <v>869</v>
      </c>
      <c r="E203" s="15" t="s">
        <v>870</v>
      </c>
      <c r="F203" s="16" t="n">
        <v>1</v>
      </c>
      <c r="G203" s="15" t="s">
        <v>871</v>
      </c>
      <c r="H203" s="15" t="s">
        <v>872</v>
      </c>
      <c r="I203" s="15" t="s">
        <v>873</v>
      </c>
      <c r="J203" s="15" t="s">
        <v>874</v>
      </c>
      <c r="K203" s="17" t="n">
        <v>6</v>
      </c>
    </row>
    <row r="204" customFormat="false" ht="30" hidden="false" customHeight="true" outlineLevel="0" collapsed="false">
      <c r="B204" s="14"/>
      <c r="C204" s="15"/>
      <c r="D204" s="15"/>
      <c r="E204" s="15"/>
      <c r="F204" s="16" t="n">
        <v>2</v>
      </c>
      <c r="G204" s="15" t="s">
        <v>875</v>
      </c>
      <c r="H204" s="15" t="s">
        <v>876</v>
      </c>
      <c r="I204" s="15" t="s">
        <v>877</v>
      </c>
      <c r="J204" s="15" t="s">
        <v>878</v>
      </c>
      <c r="K204" s="17"/>
    </row>
    <row r="205" customFormat="false" ht="16.5" hidden="false" customHeight="true" outlineLevel="0" collapsed="false">
      <c r="B205" s="14"/>
      <c r="C205" s="15"/>
      <c r="D205" s="15"/>
      <c r="E205" s="15"/>
      <c r="F205" s="16" t="n">
        <v>3</v>
      </c>
      <c r="G205" s="15" t="s">
        <v>576</v>
      </c>
      <c r="H205" s="15" t="s">
        <v>879</v>
      </c>
      <c r="I205" s="15" t="s">
        <v>578</v>
      </c>
      <c r="J205" s="15" t="s">
        <v>880</v>
      </c>
      <c r="K205" s="17"/>
    </row>
    <row r="206" customFormat="false" ht="16.5" hidden="false" customHeight="true" outlineLevel="0" collapsed="false">
      <c r="B206" s="14" t="s">
        <v>881</v>
      </c>
      <c r="C206" s="11" t="s">
        <v>32</v>
      </c>
      <c r="D206" s="11" t="s">
        <v>882</v>
      </c>
      <c r="E206" s="11" t="s">
        <v>883</v>
      </c>
      <c r="F206" s="12" t="n">
        <v>1</v>
      </c>
      <c r="G206" s="11" t="s">
        <v>884</v>
      </c>
      <c r="H206" s="11" t="s">
        <v>885</v>
      </c>
      <c r="I206" s="11" t="s">
        <v>578</v>
      </c>
      <c r="J206" s="11" t="s">
        <v>886</v>
      </c>
      <c r="K206" s="13" t="n">
        <v>6</v>
      </c>
    </row>
    <row r="207" customFormat="false" ht="30" hidden="false" customHeight="true" outlineLevel="0" collapsed="false">
      <c r="B207" s="14"/>
      <c r="C207" s="11"/>
      <c r="D207" s="11"/>
      <c r="E207" s="11"/>
      <c r="F207" s="12" t="n">
        <v>2</v>
      </c>
      <c r="G207" s="11" t="s">
        <v>887</v>
      </c>
      <c r="H207" s="11" t="s">
        <v>888</v>
      </c>
      <c r="I207" s="11" t="s">
        <v>578</v>
      </c>
      <c r="J207" s="11" t="s">
        <v>889</v>
      </c>
      <c r="K207" s="13"/>
    </row>
    <row r="208" customFormat="false" ht="16.5" hidden="false" customHeight="true" outlineLevel="0" collapsed="false">
      <c r="B208" s="14"/>
      <c r="C208" s="11"/>
      <c r="D208" s="11"/>
      <c r="E208" s="11"/>
      <c r="F208" s="12" t="n">
        <v>3</v>
      </c>
      <c r="G208" s="11" t="s">
        <v>647</v>
      </c>
      <c r="H208" s="11" t="s">
        <v>890</v>
      </c>
      <c r="I208" s="11" t="s">
        <v>578</v>
      </c>
      <c r="J208" s="11" t="s">
        <v>891</v>
      </c>
      <c r="K208" s="13"/>
    </row>
  </sheetData>
  <mergeCells count="328">
    <mergeCell ref="C4:F4"/>
    <mergeCell ref="G4:J4"/>
    <mergeCell ref="B6:K6"/>
    <mergeCell ref="B7:B9"/>
    <mergeCell ref="C7:C9"/>
    <mergeCell ref="D7:D9"/>
    <mergeCell ref="E7:E9"/>
    <mergeCell ref="K7:K9"/>
    <mergeCell ref="B10:B12"/>
    <mergeCell ref="C10:C12"/>
    <mergeCell ref="D10:D12"/>
    <mergeCell ref="E10:E12"/>
    <mergeCell ref="K10:K12"/>
    <mergeCell ref="B13:B15"/>
    <mergeCell ref="C13:C15"/>
    <mergeCell ref="D13:D15"/>
    <mergeCell ref="E13:E15"/>
    <mergeCell ref="K13:K15"/>
    <mergeCell ref="B16:B18"/>
    <mergeCell ref="C16:C18"/>
    <mergeCell ref="D16:D18"/>
    <mergeCell ref="E16:E18"/>
    <mergeCell ref="K16:K18"/>
    <mergeCell ref="B19:B21"/>
    <mergeCell ref="C19:C21"/>
    <mergeCell ref="D19:D21"/>
    <mergeCell ref="E19:E21"/>
    <mergeCell ref="K19:K21"/>
    <mergeCell ref="B22:B24"/>
    <mergeCell ref="C22:C24"/>
    <mergeCell ref="D22:D24"/>
    <mergeCell ref="E22:E24"/>
    <mergeCell ref="K22:K24"/>
    <mergeCell ref="B25:B27"/>
    <mergeCell ref="C25:C27"/>
    <mergeCell ref="D25:D27"/>
    <mergeCell ref="E25:E27"/>
    <mergeCell ref="K25:K27"/>
    <mergeCell ref="B28:B30"/>
    <mergeCell ref="C28:C30"/>
    <mergeCell ref="D28:D30"/>
    <mergeCell ref="E28:E30"/>
    <mergeCell ref="K28:K30"/>
    <mergeCell ref="B31:B33"/>
    <mergeCell ref="C31:C33"/>
    <mergeCell ref="D31:D33"/>
    <mergeCell ref="E31:E33"/>
    <mergeCell ref="K31:K33"/>
    <mergeCell ref="B34:B36"/>
    <mergeCell ref="C34:C36"/>
    <mergeCell ref="D34:D36"/>
    <mergeCell ref="E34:E36"/>
    <mergeCell ref="K34:K36"/>
    <mergeCell ref="B37:B39"/>
    <mergeCell ref="C37:C39"/>
    <mergeCell ref="D37:D39"/>
    <mergeCell ref="E37:E39"/>
    <mergeCell ref="K37:K39"/>
    <mergeCell ref="B40:B42"/>
    <mergeCell ref="C40:C42"/>
    <mergeCell ref="D40:D42"/>
    <mergeCell ref="E40:E42"/>
    <mergeCell ref="K40:K42"/>
    <mergeCell ref="B43:B45"/>
    <mergeCell ref="C43:C45"/>
    <mergeCell ref="D43:D45"/>
    <mergeCell ref="E43:E45"/>
    <mergeCell ref="K43:K45"/>
    <mergeCell ref="B46:B48"/>
    <mergeCell ref="C46:C48"/>
    <mergeCell ref="D46:D48"/>
    <mergeCell ref="E46:E48"/>
    <mergeCell ref="K46:K48"/>
    <mergeCell ref="B49:B51"/>
    <mergeCell ref="C49:C51"/>
    <mergeCell ref="D49:D51"/>
    <mergeCell ref="E49:E51"/>
    <mergeCell ref="K49:K51"/>
    <mergeCell ref="B52:B54"/>
    <mergeCell ref="C52:C54"/>
    <mergeCell ref="D52:D54"/>
    <mergeCell ref="E52:E54"/>
    <mergeCell ref="K52:K54"/>
    <mergeCell ref="B55:B57"/>
    <mergeCell ref="C55:C57"/>
    <mergeCell ref="D55:D57"/>
    <mergeCell ref="E55:E57"/>
    <mergeCell ref="K55:K57"/>
    <mergeCell ref="B58:B60"/>
    <mergeCell ref="C58:C60"/>
    <mergeCell ref="D58:D60"/>
    <mergeCell ref="E58:E60"/>
    <mergeCell ref="K58:K60"/>
    <mergeCell ref="B61:B63"/>
    <mergeCell ref="C61:C63"/>
    <mergeCell ref="D61:D63"/>
    <mergeCell ref="E61:E63"/>
    <mergeCell ref="K61:K63"/>
    <mergeCell ref="B64:B66"/>
    <mergeCell ref="C64:C66"/>
    <mergeCell ref="D64:D66"/>
    <mergeCell ref="E64:E66"/>
    <mergeCell ref="K64:K66"/>
    <mergeCell ref="B67:B69"/>
    <mergeCell ref="C67:C69"/>
    <mergeCell ref="D67:D69"/>
    <mergeCell ref="E67:E69"/>
    <mergeCell ref="K67:K69"/>
    <mergeCell ref="B70:B72"/>
    <mergeCell ref="C70:C72"/>
    <mergeCell ref="D70:D72"/>
    <mergeCell ref="E70:E72"/>
    <mergeCell ref="K70:K72"/>
    <mergeCell ref="B73:B75"/>
    <mergeCell ref="C73:C75"/>
    <mergeCell ref="D73:D75"/>
    <mergeCell ref="E73:E75"/>
    <mergeCell ref="K73:K75"/>
    <mergeCell ref="B76:B78"/>
    <mergeCell ref="C76:C78"/>
    <mergeCell ref="D76:D78"/>
    <mergeCell ref="E76:E78"/>
    <mergeCell ref="K76:K78"/>
    <mergeCell ref="B80:K80"/>
    <mergeCell ref="B81:B83"/>
    <mergeCell ref="C81:C83"/>
    <mergeCell ref="D81:D83"/>
    <mergeCell ref="E81:E83"/>
    <mergeCell ref="K81:K83"/>
    <mergeCell ref="B84:B86"/>
    <mergeCell ref="C84:C86"/>
    <mergeCell ref="D84:D86"/>
    <mergeCell ref="E84:E86"/>
    <mergeCell ref="K84:K86"/>
    <mergeCell ref="B87:B89"/>
    <mergeCell ref="C87:C89"/>
    <mergeCell ref="D87:D89"/>
    <mergeCell ref="E87:E89"/>
    <mergeCell ref="K87:K89"/>
    <mergeCell ref="B90:B92"/>
    <mergeCell ref="C90:C92"/>
    <mergeCell ref="D90:D92"/>
    <mergeCell ref="E90:E92"/>
    <mergeCell ref="K90:K92"/>
    <mergeCell ref="B93:B95"/>
    <mergeCell ref="C93:C95"/>
    <mergeCell ref="D93:D95"/>
    <mergeCell ref="E93:E95"/>
    <mergeCell ref="K93:K95"/>
    <mergeCell ref="B96:B98"/>
    <mergeCell ref="C96:C98"/>
    <mergeCell ref="D96:D98"/>
    <mergeCell ref="E96:E98"/>
    <mergeCell ref="K96:K98"/>
    <mergeCell ref="B99:B101"/>
    <mergeCell ref="C99:C101"/>
    <mergeCell ref="D99:D101"/>
    <mergeCell ref="E99:E101"/>
    <mergeCell ref="K99:K101"/>
    <mergeCell ref="B102:B104"/>
    <mergeCell ref="C102:C104"/>
    <mergeCell ref="D102:D104"/>
    <mergeCell ref="E102:E104"/>
    <mergeCell ref="K102:K104"/>
    <mergeCell ref="B106:K106"/>
    <mergeCell ref="B107:B109"/>
    <mergeCell ref="C107:C109"/>
    <mergeCell ref="D107:D109"/>
    <mergeCell ref="E107:E109"/>
    <mergeCell ref="K107:K109"/>
    <mergeCell ref="B110:B112"/>
    <mergeCell ref="C110:C112"/>
    <mergeCell ref="D110:D112"/>
    <mergeCell ref="E110:E112"/>
    <mergeCell ref="K110:K112"/>
    <mergeCell ref="B113:B115"/>
    <mergeCell ref="C113:C115"/>
    <mergeCell ref="D113:D115"/>
    <mergeCell ref="E113:E115"/>
    <mergeCell ref="K113:K115"/>
    <mergeCell ref="B116:B118"/>
    <mergeCell ref="C116:C118"/>
    <mergeCell ref="D116:D118"/>
    <mergeCell ref="E116:E118"/>
    <mergeCell ref="K116:K118"/>
    <mergeCell ref="B119:B121"/>
    <mergeCell ref="C119:C121"/>
    <mergeCell ref="D119:D121"/>
    <mergeCell ref="E119:E121"/>
    <mergeCell ref="K119:K121"/>
    <mergeCell ref="B122:B124"/>
    <mergeCell ref="C122:C124"/>
    <mergeCell ref="D122:D124"/>
    <mergeCell ref="E122:E124"/>
    <mergeCell ref="K122:K124"/>
    <mergeCell ref="B125:B127"/>
    <mergeCell ref="C125:C127"/>
    <mergeCell ref="D125:D127"/>
    <mergeCell ref="E125:E127"/>
    <mergeCell ref="K125:K127"/>
    <mergeCell ref="B128:B130"/>
    <mergeCell ref="C128:C130"/>
    <mergeCell ref="D128:D130"/>
    <mergeCell ref="E128:E130"/>
    <mergeCell ref="K128:K130"/>
    <mergeCell ref="B132:K132"/>
    <mergeCell ref="B133:B135"/>
    <mergeCell ref="C133:C135"/>
    <mergeCell ref="D133:D135"/>
    <mergeCell ref="E133:E135"/>
    <mergeCell ref="K133:K135"/>
    <mergeCell ref="B136:B138"/>
    <mergeCell ref="C136:C138"/>
    <mergeCell ref="D136:D138"/>
    <mergeCell ref="E136:E138"/>
    <mergeCell ref="K136:K138"/>
    <mergeCell ref="B139:B141"/>
    <mergeCell ref="C139:C141"/>
    <mergeCell ref="D139:D141"/>
    <mergeCell ref="E139:E141"/>
    <mergeCell ref="K139:K141"/>
    <mergeCell ref="B142:B144"/>
    <mergeCell ref="C142:C144"/>
    <mergeCell ref="D142:D144"/>
    <mergeCell ref="E142:E144"/>
    <mergeCell ref="K142:K144"/>
    <mergeCell ref="B145:B147"/>
    <mergeCell ref="C145:C147"/>
    <mergeCell ref="D145:D147"/>
    <mergeCell ref="E145:E147"/>
    <mergeCell ref="K145:K147"/>
    <mergeCell ref="B148:B150"/>
    <mergeCell ref="C148:C150"/>
    <mergeCell ref="D148:D150"/>
    <mergeCell ref="E148:E150"/>
    <mergeCell ref="K148:K150"/>
    <mergeCell ref="B151:B153"/>
    <mergeCell ref="C151:C153"/>
    <mergeCell ref="D151:D153"/>
    <mergeCell ref="E151:E153"/>
    <mergeCell ref="K151:K153"/>
    <mergeCell ref="B154:B156"/>
    <mergeCell ref="C154:C156"/>
    <mergeCell ref="D154:D156"/>
    <mergeCell ref="E154:E156"/>
    <mergeCell ref="K154:K156"/>
    <mergeCell ref="B158:K158"/>
    <mergeCell ref="B159:B161"/>
    <mergeCell ref="C159:C161"/>
    <mergeCell ref="D159:D161"/>
    <mergeCell ref="E159:E161"/>
    <mergeCell ref="K159:K161"/>
    <mergeCell ref="B162:B164"/>
    <mergeCell ref="C162:C164"/>
    <mergeCell ref="D162:D164"/>
    <mergeCell ref="E162:E164"/>
    <mergeCell ref="K162:K164"/>
    <mergeCell ref="B165:B167"/>
    <mergeCell ref="C165:C167"/>
    <mergeCell ref="D165:D167"/>
    <mergeCell ref="E165:E167"/>
    <mergeCell ref="K165:K167"/>
    <mergeCell ref="B168:B170"/>
    <mergeCell ref="C168:C170"/>
    <mergeCell ref="D168:D170"/>
    <mergeCell ref="E168:E170"/>
    <mergeCell ref="K168:K170"/>
    <mergeCell ref="B171:B173"/>
    <mergeCell ref="C171:C173"/>
    <mergeCell ref="D171:D173"/>
    <mergeCell ref="E171:E173"/>
    <mergeCell ref="K171:K173"/>
    <mergeCell ref="B174:B176"/>
    <mergeCell ref="C174:C176"/>
    <mergeCell ref="D174:D176"/>
    <mergeCell ref="E174:E176"/>
    <mergeCell ref="K174:K176"/>
    <mergeCell ref="B177:B179"/>
    <mergeCell ref="C177:C179"/>
    <mergeCell ref="D177:D179"/>
    <mergeCell ref="E177:E179"/>
    <mergeCell ref="K177:K179"/>
    <mergeCell ref="B180:B182"/>
    <mergeCell ref="C180:C182"/>
    <mergeCell ref="D180:D182"/>
    <mergeCell ref="E180:E182"/>
    <mergeCell ref="K180:K182"/>
    <mergeCell ref="B184:K184"/>
    <mergeCell ref="B185:B187"/>
    <mergeCell ref="C185:C187"/>
    <mergeCell ref="D185:D187"/>
    <mergeCell ref="E185:E187"/>
    <mergeCell ref="K185:K187"/>
    <mergeCell ref="B188:B190"/>
    <mergeCell ref="C188:C190"/>
    <mergeCell ref="D188:D190"/>
    <mergeCell ref="E188:E190"/>
    <mergeCell ref="K188:K190"/>
    <mergeCell ref="B191:B193"/>
    <mergeCell ref="C191:C193"/>
    <mergeCell ref="D191:D193"/>
    <mergeCell ref="E191:E193"/>
    <mergeCell ref="K191:K193"/>
    <mergeCell ref="B194:B196"/>
    <mergeCell ref="C194:C196"/>
    <mergeCell ref="D194:D196"/>
    <mergeCell ref="E194:E196"/>
    <mergeCell ref="K194:K196"/>
    <mergeCell ref="B197:B199"/>
    <mergeCell ref="C197:C199"/>
    <mergeCell ref="D197:D199"/>
    <mergeCell ref="E197:E199"/>
    <mergeCell ref="K197:K199"/>
    <mergeCell ref="B200:B202"/>
    <mergeCell ref="C200:C202"/>
    <mergeCell ref="D200:D202"/>
    <mergeCell ref="E200:E202"/>
    <mergeCell ref="K200:K202"/>
    <mergeCell ref="B203:B205"/>
    <mergeCell ref="C203:C205"/>
    <mergeCell ref="D203:D205"/>
    <mergeCell ref="E203:E205"/>
    <mergeCell ref="K203:K205"/>
    <mergeCell ref="B206:B208"/>
    <mergeCell ref="C206:C208"/>
    <mergeCell ref="D206:D208"/>
    <mergeCell ref="E206:E208"/>
    <mergeCell ref="K206:K20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9"/>
    <col collapsed="false" customWidth="true" hidden="false" outlineLevel="0" max="3" min="3" style="0" width="36"/>
    <col collapsed="false" customWidth="true" hidden="false" outlineLevel="0" max="4" min="4" style="0" width="70"/>
    <col collapsed="false" customWidth="true" hidden="false" outlineLevel="0" max="7" min="5" style="0" width="12"/>
  </cols>
  <sheetData>
    <row r="1" customFormat="false" ht="30" hidden="false" customHeight="true" outlineLevel="0" collapsed="false">
      <c r="B1" s="18" t="s">
        <v>892</v>
      </c>
    </row>
    <row r="2" customFormat="false" ht="15" hidden="false" customHeight="false" outlineLevel="0" collapsed="false">
      <c r="B2" s="3" t="s">
        <v>893</v>
      </c>
    </row>
    <row r="4" customFormat="false" ht="30" hidden="false" customHeight="true" outlineLevel="0" collapsed="false">
      <c r="B4" s="5" t="s">
        <v>894</v>
      </c>
      <c r="C4" s="5" t="s">
        <v>895</v>
      </c>
      <c r="D4" s="5" t="s">
        <v>896</v>
      </c>
      <c r="E4" s="5" t="s">
        <v>897</v>
      </c>
      <c r="F4" s="5" t="s">
        <v>898</v>
      </c>
      <c r="G4" s="5" t="s">
        <v>899</v>
      </c>
    </row>
    <row r="5" customFormat="false" ht="33.75" hidden="false" customHeight="true" outlineLevel="0" collapsed="false">
      <c r="B5" s="19" t="n">
        <v>1</v>
      </c>
      <c r="C5" s="20" t="s">
        <v>900</v>
      </c>
      <c r="D5" s="21" t="s">
        <v>901</v>
      </c>
      <c r="E5" s="22" t="n">
        <f aca="false">COUNTIF('Historias de Usuario'!$B:$B,"E1-F*")</f>
        <v>12</v>
      </c>
      <c r="F5" s="22" t="n">
        <f aca="false">COUNTIF('Historias de Usuario'!$B:$B,"E1-B*")</f>
        <v>12</v>
      </c>
      <c r="G5" s="23" t="n">
        <f aca="false">E5+F5</f>
        <v>24</v>
      </c>
    </row>
    <row r="6" customFormat="false" ht="33.75" hidden="false" customHeight="true" outlineLevel="0" collapsed="false">
      <c r="B6" s="13" t="n">
        <v>2</v>
      </c>
      <c r="C6" s="24" t="s">
        <v>902</v>
      </c>
      <c r="D6" s="25" t="s">
        <v>903</v>
      </c>
      <c r="E6" s="26" t="n">
        <f aca="false">COUNTIF('Historias de Usuario'!$B:$B,"E2-F*")</f>
        <v>4</v>
      </c>
      <c r="F6" s="26" t="n">
        <f aca="false">COUNTIF('Historias de Usuario'!$B:$B,"E2-B*")</f>
        <v>4</v>
      </c>
      <c r="G6" s="27" t="n">
        <f aca="false">E6+F6</f>
        <v>8</v>
      </c>
    </row>
    <row r="7" customFormat="false" ht="33.75" hidden="false" customHeight="true" outlineLevel="0" collapsed="false">
      <c r="B7" s="19" t="n">
        <v>3</v>
      </c>
      <c r="C7" s="20" t="s">
        <v>904</v>
      </c>
      <c r="D7" s="21" t="s">
        <v>905</v>
      </c>
      <c r="E7" s="22" t="n">
        <f aca="false">COUNTIF('Historias de Usuario'!$B:$B,"E3-F*")</f>
        <v>4</v>
      </c>
      <c r="F7" s="22" t="n">
        <f aca="false">COUNTIF('Historias de Usuario'!$B:$B,"E3-B*")</f>
        <v>4</v>
      </c>
      <c r="G7" s="23" t="n">
        <f aca="false">E7+F7</f>
        <v>8</v>
      </c>
    </row>
    <row r="8" customFormat="false" ht="33.75" hidden="false" customHeight="true" outlineLevel="0" collapsed="false">
      <c r="B8" s="13" t="n">
        <v>4</v>
      </c>
      <c r="C8" s="24" t="s">
        <v>906</v>
      </c>
      <c r="D8" s="25" t="s">
        <v>907</v>
      </c>
      <c r="E8" s="26" t="n">
        <f aca="false">COUNTIF('Historias de Usuario'!$B:$B,"E4-F*")</f>
        <v>4</v>
      </c>
      <c r="F8" s="26" t="n">
        <f aca="false">COUNTIF('Historias de Usuario'!$B:$B,"E4-B*")</f>
        <v>4</v>
      </c>
      <c r="G8" s="27" t="n">
        <f aca="false">E8+F8</f>
        <v>8</v>
      </c>
    </row>
    <row r="9" customFormat="false" ht="33.75" hidden="false" customHeight="true" outlineLevel="0" collapsed="false">
      <c r="B9" s="19" t="n">
        <v>5</v>
      </c>
      <c r="C9" s="20" t="s">
        <v>908</v>
      </c>
      <c r="D9" s="21" t="s">
        <v>909</v>
      </c>
      <c r="E9" s="22" t="n">
        <f aca="false">COUNTIF('Historias de Usuario'!$B:$B,"E5-F*")</f>
        <v>4</v>
      </c>
      <c r="F9" s="22" t="n">
        <f aca="false">COUNTIF('Historias de Usuario'!$B:$B,"E5-B*")</f>
        <v>4</v>
      </c>
      <c r="G9" s="23" t="n">
        <f aca="false">E9+F9</f>
        <v>8</v>
      </c>
    </row>
    <row r="10" customFormat="false" ht="33.75" hidden="false" customHeight="true" outlineLevel="0" collapsed="false">
      <c r="B10" s="13" t="n">
        <v>6</v>
      </c>
      <c r="C10" s="24" t="s">
        <v>910</v>
      </c>
      <c r="D10" s="25" t="s">
        <v>911</v>
      </c>
      <c r="E10" s="26" t="n">
        <f aca="false">COUNTIF('Historias de Usuario'!$B:$B,"E6-F*")</f>
        <v>4</v>
      </c>
      <c r="F10" s="26" t="n">
        <f aca="false">COUNTIF('Historias de Usuario'!$B:$B,"E6-B*")</f>
        <v>4</v>
      </c>
      <c r="G10" s="27" t="n">
        <f aca="false">E10+F10</f>
        <v>8</v>
      </c>
    </row>
    <row r="11" customFormat="false" ht="15" hidden="false" customHeight="true" outlineLevel="0" collapsed="false">
      <c r="B11" s="28" t="s">
        <v>912</v>
      </c>
      <c r="C11" s="28"/>
      <c r="D11" s="28"/>
      <c r="E11" s="29" t="n">
        <f aca="false">SUM(E5:E10)</f>
        <v>32</v>
      </c>
      <c r="F11" s="29" t="n">
        <f aca="false">SUM(F5:F10)</f>
        <v>32</v>
      </c>
      <c r="G11" s="29" t="n">
        <f aca="false">SUM(G5:G10)</f>
        <v>64</v>
      </c>
    </row>
  </sheetData>
  <mergeCells count="1">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9"/>
    <col collapsed="false" customWidth="true" hidden="false" outlineLevel="0" max="3" min="3" style="0" width="34"/>
    <col collapsed="false" customWidth="true" hidden="false" outlineLevel="0" max="4" min="4" style="0" width="28"/>
    <col collapsed="false" customWidth="true" hidden="false" outlineLevel="0" max="5" min="5" style="0" width="34"/>
  </cols>
  <sheetData>
    <row r="1" customFormat="false" ht="30" hidden="false" customHeight="true" outlineLevel="0" collapsed="false">
      <c r="B1" s="18" t="s">
        <v>913</v>
      </c>
    </row>
    <row r="2" customFormat="false" ht="15" hidden="false" customHeight="false" outlineLevel="0" collapsed="false">
      <c r="B2" s="3" t="s">
        <v>914</v>
      </c>
    </row>
    <row r="4" customFormat="false" ht="25.5" hidden="false" customHeight="true" outlineLevel="0" collapsed="false">
      <c r="B4" s="5" t="s">
        <v>894</v>
      </c>
      <c r="C4" s="5" t="s">
        <v>915</v>
      </c>
      <c r="D4" s="5" t="s">
        <v>897</v>
      </c>
      <c r="E4" s="5" t="s">
        <v>898</v>
      </c>
    </row>
    <row r="5" customFormat="false" ht="19.5" hidden="false" customHeight="true" outlineLevel="0" collapsed="false">
      <c r="B5" s="30" t="s">
        <v>916</v>
      </c>
      <c r="C5" s="20" t="s">
        <v>917</v>
      </c>
      <c r="D5" s="31" t="s">
        <v>16</v>
      </c>
      <c r="E5" s="32" t="s">
        <v>918</v>
      </c>
    </row>
    <row r="6" customFormat="false" ht="19.5" hidden="false" customHeight="true" outlineLevel="0" collapsed="false">
      <c r="B6" s="30"/>
      <c r="C6" s="24" t="s">
        <v>919</v>
      </c>
      <c r="D6" s="33" t="s">
        <v>920</v>
      </c>
      <c r="E6" s="34" t="s">
        <v>921</v>
      </c>
    </row>
    <row r="7" customFormat="false" ht="19.5" hidden="false" customHeight="true" outlineLevel="0" collapsed="false">
      <c r="B7" s="30"/>
      <c r="C7" s="20" t="s">
        <v>922</v>
      </c>
      <c r="D7" s="31" t="s">
        <v>60</v>
      </c>
      <c r="E7" s="32" t="s">
        <v>232</v>
      </c>
    </row>
    <row r="8" customFormat="false" ht="19.5" hidden="false" customHeight="true" outlineLevel="0" collapsed="false">
      <c r="B8" s="30"/>
      <c r="C8" s="24" t="s">
        <v>923</v>
      </c>
      <c r="D8" s="33" t="s">
        <v>924</v>
      </c>
      <c r="E8" s="34" t="s">
        <v>925</v>
      </c>
    </row>
    <row r="9" customFormat="false" ht="19.5" hidden="false" customHeight="true" outlineLevel="0" collapsed="false">
      <c r="B9" s="30"/>
      <c r="C9" s="20" t="s">
        <v>926</v>
      </c>
      <c r="D9" s="31" t="s">
        <v>927</v>
      </c>
      <c r="E9" s="32" t="s">
        <v>928</v>
      </c>
    </row>
    <row r="10" customFormat="false" ht="19.5" hidden="false" customHeight="true" outlineLevel="0" collapsed="false">
      <c r="B10" s="30"/>
      <c r="C10" s="24" t="s">
        <v>929</v>
      </c>
      <c r="D10" s="33" t="s">
        <v>130</v>
      </c>
      <c r="E10" s="34" t="s">
        <v>930</v>
      </c>
    </row>
    <row r="11" customFormat="false" ht="19.5" hidden="false" customHeight="true" outlineLevel="0" collapsed="false">
      <c r="B11" s="30"/>
      <c r="C11" s="20" t="s">
        <v>931</v>
      </c>
      <c r="D11" s="31" t="s">
        <v>145</v>
      </c>
      <c r="E11" s="32" t="s">
        <v>932</v>
      </c>
    </row>
    <row r="12" customFormat="false" ht="19.5" hidden="false" customHeight="true" outlineLevel="0" collapsed="false">
      <c r="B12" s="30"/>
      <c r="C12" s="24" t="s">
        <v>933</v>
      </c>
      <c r="D12" s="33" t="s">
        <v>160</v>
      </c>
      <c r="E12" s="34" t="s">
        <v>315</v>
      </c>
    </row>
    <row r="13" customFormat="false" ht="19.5" hidden="false" customHeight="true" outlineLevel="0" collapsed="false">
      <c r="B13" s="30"/>
      <c r="C13" s="20" t="s">
        <v>333</v>
      </c>
      <c r="D13" s="31" t="s">
        <v>176</v>
      </c>
      <c r="E13" s="32" t="s">
        <v>328</v>
      </c>
    </row>
    <row r="15" customFormat="false" ht="19.5" hidden="false" customHeight="true" outlineLevel="0" collapsed="false">
      <c r="B15" s="30" t="s">
        <v>934</v>
      </c>
      <c r="C15" s="20" t="s">
        <v>935</v>
      </c>
      <c r="D15" s="31" t="s">
        <v>357</v>
      </c>
      <c r="E15" s="32" t="s">
        <v>415</v>
      </c>
    </row>
    <row r="16" customFormat="false" ht="19.5" hidden="false" customHeight="true" outlineLevel="0" collapsed="false">
      <c r="B16" s="30"/>
      <c r="C16" s="24" t="s">
        <v>936</v>
      </c>
      <c r="D16" s="33" t="s">
        <v>370</v>
      </c>
      <c r="E16" s="34" t="s">
        <v>937</v>
      </c>
    </row>
    <row r="17" customFormat="false" ht="19.5" hidden="false" customHeight="true" outlineLevel="0" collapsed="false">
      <c r="B17" s="30"/>
      <c r="C17" s="20" t="s">
        <v>938</v>
      </c>
      <c r="D17" s="31" t="s">
        <v>385</v>
      </c>
      <c r="E17" s="32" t="s">
        <v>443</v>
      </c>
    </row>
    <row r="18" customFormat="false" ht="19.5" hidden="false" customHeight="true" outlineLevel="0" collapsed="false">
      <c r="B18" s="30"/>
      <c r="C18" s="24" t="s">
        <v>939</v>
      </c>
      <c r="D18" s="33" t="s">
        <v>400</v>
      </c>
      <c r="E18" s="34" t="s">
        <v>940</v>
      </c>
    </row>
    <row r="20" customFormat="false" ht="19.5" hidden="false" customHeight="true" outlineLevel="0" collapsed="false">
      <c r="B20" s="30" t="s">
        <v>941</v>
      </c>
      <c r="C20" s="20" t="s">
        <v>942</v>
      </c>
      <c r="D20" s="31" t="s">
        <v>943</v>
      </c>
      <c r="E20" s="32" t="s">
        <v>944</v>
      </c>
    </row>
    <row r="21" customFormat="false" ht="19.5" hidden="false" customHeight="true" outlineLevel="0" collapsed="false">
      <c r="B21" s="30"/>
      <c r="C21" s="24" t="s">
        <v>945</v>
      </c>
      <c r="D21" s="33" t="s">
        <v>496</v>
      </c>
      <c r="E21" s="34" t="s">
        <v>946</v>
      </c>
    </row>
    <row r="22" customFormat="false" ht="19.5" hidden="false" customHeight="true" outlineLevel="0" collapsed="false">
      <c r="B22" s="30"/>
      <c r="C22" s="20" t="s">
        <v>947</v>
      </c>
      <c r="D22" s="31" t="s">
        <v>511</v>
      </c>
      <c r="E22" s="32" t="s">
        <v>948</v>
      </c>
    </row>
    <row r="24" customFormat="false" ht="19.5" hidden="false" customHeight="true" outlineLevel="0" collapsed="false">
      <c r="B24" s="30" t="s">
        <v>949</v>
      </c>
      <c r="C24" s="20" t="s">
        <v>950</v>
      </c>
      <c r="D24" s="31" t="s">
        <v>581</v>
      </c>
      <c r="E24" s="32" t="s">
        <v>638</v>
      </c>
    </row>
    <row r="25" customFormat="false" ht="19.5" hidden="false" customHeight="true" outlineLevel="0" collapsed="false">
      <c r="B25" s="30"/>
      <c r="C25" s="24" t="s">
        <v>951</v>
      </c>
      <c r="D25" s="33" t="s">
        <v>952</v>
      </c>
      <c r="E25" s="34" t="s">
        <v>953</v>
      </c>
    </row>
    <row r="26" customFormat="false" ht="19.5" hidden="false" customHeight="true" outlineLevel="0" collapsed="false">
      <c r="B26" s="30"/>
      <c r="C26" s="20" t="s">
        <v>626</v>
      </c>
      <c r="D26" s="31" t="s">
        <v>623</v>
      </c>
      <c r="E26" s="32" t="s">
        <v>954</v>
      </c>
    </row>
    <row r="28" customFormat="false" ht="19.5" hidden="false" customHeight="true" outlineLevel="0" collapsed="false">
      <c r="B28" s="30" t="s">
        <v>955</v>
      </c>
      <c r="C28" s="20" t="s">
        <v>956</v>
      </c>
      <c r="D28" s="31" t="s">
        <v>686</v>
      </c>
      <c r="E28" s="32" t="s">
        <v>741</v>
      </c>
    </row>
    <row r="29" customFormat="false" ht="19.5" hidden="false" customHeight="true" outlineLevel="0" collapsed="false">
      <c r="B29" s="30"/>
      <c r="C29" s="24" t="s">
        <v>957</v>
      </c>
      <c r="D29" s="33" t="s">
        <v>700</v>
      </c>
      <c r="E29" s="34" t="s">
        <v>958</v>
      </c>
    </row>
    <row r="30" customFormat="false" ht="19.5" hidden="false" customHeight="true" outlineLevel="0" collapsed="false">
      <c r="B30" s="30"/>
      <c r="C30" s="20" t="s">
        <v>959</v>
      </c>
      <c r="D30" s="31" t="s">
        <v>713</v>
      </c>
      <c r="E30" s="32" t="s">
        <v>960</v>
      </c>
    </row>
    <row r="31" customFormat="false" ht="19.5" hidden="false" customHeight="true" outlineLevel="0" collapsed="false">
      <c r="B31" s="30"/>
      <c r="C31" s="24" t="s">
        <v>961</v>
      </c>
      <c r="D31" s="33" t="s">
        <v>727</v>
      </c>
      <c r="E31" s="34" t="s">
        <v>777</v>
      </c>
    </row>
    <row r="33" customFormat="false" ht="19.5" hidden="false" customHeight="true" outlineLevel="0" collapsed="false">
      <c r="B33" s="30" t="s">
        <v>962</v>
      </c>
      <c r="C33" s="20" t="s">
        <v>963</v>
      </c>
      <c r="D33" s="31" t="s">
        <v>787</v>
      </c>
      <c r="E33" s="32" t="s">
        <v>843</v>
      </c>
    </row>
    <row r="34" customFormat="false" ht="19.5" hidden="false" customHeight="true" outlineLevel="0" collapsed="false">
      <c r="B34" s="30"/>
      <c r="C34" s="24" t="s">
        <v>964</v>
      </c>
      <c r="D34" s="33" t="s">
        <v>965</v>
      </c>
      <c r="E34" s="34" t="s">
        <v>856</v>
      </c>
    </row>
    <row r="35" customFormat="false" ht="19.5" hidden="false" customHeight="true" outlineLevel="0" collapsed="false">
      <c r="B35" s="30"/>
      <c r="C35" s="20" t="s">
        <v>966</v>
      </c>
      <c r="D35" s="31" t="s">
        <v>828</v>
      </c>
      <c r="E35" s="32" t="s">
        <v>967</v>
      </c>
    </row>
  </sheetData>
  <mergeCells count="6">
    <mergeCell ref="B5:B13"/>
    <mergeCell ref="B15:B18"/>
    <mergeCell ref="B20:B22"/>
    <mergeCell ref="B24:B26"/>
    <mergeCell ref="B28:B31"/>
    <mergeCell ref="B33: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30"/>
    <col collapsed="false" customWidth="true" hidden="false" outlineLevel="0" max="3" min="3" style="0" width="90"/>
  </cols>
  <sheetData>
    <row r="1" customFormat="false" ht="30" hidden="false" customHeight="true" outlineLevel="0" collapsed="false">
      <c r="B1" s="18" t="s">
        <v>968</v>
      </c>
    </row>
    <row r="4" customFormat="false" ht="15" hidden="false" customHeight="false" outlineLevel="0" collapsed="false">
      <c r="B4" s="5" t="s">
        <v>969</v>
      </c>
      <c r="C4" s="5" t="s">
        <v>970</v>
      </c>
    </row>
    <row r="5" customFormat="false" ht="31.5" hidden="false" customHeight="true" outlineLevel="0" collapsed="false">
      <c r="B5" s="35" t="s">
        <v>5</v>
      </c>
      <c r="C5" s="36" t="s">
        <v>971</v>
      </c>
    </row>
    <row r="6" customFormat="false" ht="70.5" hidden="false" customHeight="true" outlineLevel="0" collapsed="false">
      <c r="B6" s="37" t="s">
        <v>6</v>
      </c>
      <c r="C6" s="11" t="s">
        <v>972</v>
      </c>
    </row>
    <row r="7" customFormat="false" ht="70.5" hidden="false" customHeight="true" outlineLevel="0" collapsed="false">
      <c r="B7" s="35" t="s">
        <v>7</v>
      </c>
      <c r="C7" s="36" t="s">
        <v>973</v>
      </c>
    </row>
    <row r="8" customFormat="false" ht="57.75" hidden="false" customHeight="true" outlineLevel="0" collapsed="false">
      <c r="B8" s="37" t="s">
        <v>8</v>
      </c>
      <c r="C8" s="11" t="s">
        <v>974</v>
      </c>
    </row>
    <row r="9" customFormat="false" ht="18.75" hidden="false" customHeight="true" outlineLevel="0" collapsed="false">
      <c r="B9" s="35" t="s">
        <v>9</v>
      </c>
      <c r="C9" s="36" t="s">
        <v>975</v>
      </c>
    </row>
    <row r="10" customFormat="false" ht="45" hidden="false" customHeight="true" outlineLevel="0" collapsed="false">
      <c r="B10" s="37" t="s">
        <v>976</v>
      </c>
      <c r="C10" s="11" t="s">
        <v>977</v>
      </c>
    </row>
    <row r="11" customFormat="false" ht="18.75" hidden="false" customHeight="true" outlineLevel="0" collapsed="false">
      <c r="B11" s="35" t="s">
        <v>11</v>
      </c>
      <c r="C11" s="36" t="s">
        <v>978</v>
      </c>
    </row>
    <row r="12" customFormat="false" ht="31.5" hidden="false" customHeight="true" outlineLevel="0" collapsed="false">
      <c r="B12" s="37" t="s">
        <v>12</v>
      </c>
      <c r="C12" s="11" t="s">
        <v>979</v>
      </c>
    </row>
    <row r="13" customFormat="false" ht="31.5" hidden="false" customHeight="true" outlineLevel="0" collapsed="false">
      <c r="B13" s="35" t="s">
        <v>13</v>
      </c>
      <c r="C13" s="36" t="s">
        <v>980</v>
      </c>
    </row>
    <row r="14" customFormat="false" ht="18" hidden="false" customHeight="true" outlineLevel="0" collapsed="false">
      <c r="B14" s="37" t="s">
        <v>14</v>
      </c>
      <c r="C14" s="11" t="s">
        <v>981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2026-09-10T03:43:43Z</dcterms:created>
  <dc:creator>openpyxl</dc:creator>
  <dc:description/>
  <dc:language>en-US</dc:language>
  <cp:lastModifiedBy/>
  <dcterms:modified xsi:type="dcterms:W3CDTF">2026-09-10T03:43:43Z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